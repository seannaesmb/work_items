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eld Mapping" sheetId="1" state="visible" r:id="rId3"/>
    <sheet name="Lookup Tables" sheetId="2" state="visible" r:id="rId4"/>
    <sheet name="OP-ID_to_Key_Map" sheetId="3" state="visible" r:id="rId5"/>
    <sheet name="Import Passes" sheetId="4" state="visible" r:id="rId6"/>
    <sheet name="Derived Columns" sheetId="5" state="visible" r:id="rId7"/>
    <sheet name="Pass 5 Mapp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<sst xmlns="http://schemas.openxmlformats.org/spreadsheetml/2006/main" count="382" uniqueCount="299">
  <si>
    <t xml:space="preserve">Jira Import Field Mapping — OpenProject → Jira Data Center</t>
  </si>
  <si>
    <t xml:space="preserve">Fill in / confirm mappings before running the CSV import. Legend: green = direct/lookup map, yellow = decision needed, gray = drop.</t>
  </si>
  <si>
    <t xml:space="preserve">Source Column (OpenProject)</t>
  </si>
  <si>
    <t xml:space="preserve">Target in Jira</t>
  </si>
  <si>
    <t xml:space="preserve">Action</t>
  </si>
  <si>
    <t xml:space="preserve">Notes / Requirements</t>
  </si>
  <si>
    <t xml:space="preserve">id</t>
  </si>
  <si>
    <t xml:space="preserve">op-ticket-legacy (custom field 10501) or separate raw ID field</t>
  </si>
  <si>
    <t xml:space="preserve">Map</t>
  </si>
  <si>
    <t xml:space="preserve">Traceability anchor back to OpenProject</t>
  </si>
  <si>
    <t xml:space="preserve">op-ticket-legacy</t>
  </si>
  <si>
    <t xml:space="preserve">Custom field 10501</t>
  </si>
  <si>
    <t xml:space="preserve">Reuse existing field</t>
  </si>
  <si>
    <t xml:space="preserve">Already exists from prior schema — do not recreate</t>
  </si>
  <si>
    <t xml:space="preserve">type</t>
  </si>
  <si>
    <t xml:space="preserve">Issue Type</t>
  </si>
  <si>
    <t xml:space="preserve">Map via lookup table</t>
  </si>
  <si>
    <t xml:space="preserve">Apply 24→6 issue type rationalization before import</t>
  </si>
  <si>
    <t xml:space="preserve">project</t>
  </si>
  <si>
    <t xml:space="preserve">Project</t>
  </si>
  <si>
    <t xml:space="preserve">Must match an existing Jira project key exactly</t>
  </si>
  <si>
    <t xml:space="preserve">subject</t>
  </si>
  <si>
    <t xml:space="preserve">Summary</t>
  </si>
  <si>
    <t xml:space="preserve">Direct map</t>
  </si>
  <si>
    <t xml:space="preserve">description</t>
  </si>
  <si>
    <t xml:space="preserve">Description</t>
  </si>
  <si>
    <t xml:space="preserve">Convert</t>
  </si>
  <si>
    <t xml:space="preserve">Textile/Markdown → Jira wiki markup; {warning} macro doesn't exist in DC, use {color:red}</t>
  </si>
  <si>
    <t xml:space="preserve">due</t>
  </si>
  <si>
    <t xml:space="preserve">Due Date</t>
  </si>
  <si>
    <t xml:space="preserve">Format dd/MMM/yy unless custom date pattern set in import config</t>
  </si>
  <si>
    <t xml:space="preserve">category</t>
  </si>
  <si>
    <t xml:space="preserve">Component (or custom field)</t>
  </si>
  <si>
    <t xml:space="preserve">Confirm categories map cleanly to components first</t>
  </si>
  <si>
    <t xml:space="preserve">status</t>
  </si>
  <si>
    <t xml:space="preserve">Status</t>
  </si>
  <si>
    <t xml:space="preserve">Needs explicit value-mapping to your Jira workflow's status names</t>
  </si>
  <si>
    <t xml:space="preserve">assigned</t>
  </si>
  <si>
    <t xml:space="preserve">Assignee</t>
  </si>
  <si>
    <t xml:space="preserve">Map via user table</t>
  </si>
  <si>
    <t xml:space="preserve">Import matches by username/email, not display name</t>
  </si>
  <si>
    <t xml:space="preserve">priority</t>
  </si>
  <si>
    <t xml:space="preserve">Priority</t>
  </si>
  <si>
    <t xml:space="preserve">OpenProject priorities rarely line up 1:1 with Jira's</t>
  </si>
  <si>
    <t xml:space="preserve">version</t>
  </si>
  <si>
    <t xml:space="preserve">Fix Version</t>
  </si>
  <si>
    <t xml:space="preserve">author</t>
  </si>
  <si>
    <t xml:space="preserve">Reporter</t>
  </si>
  <si>
    <t xml:space="preserve">Same user-mapping requirement as assignee</t>
  </si>
  <si>
    <t xml:space="preserve">lock</t>
  </si>
  <si>
    <t xml:space="preserve">Skip, or custom 'Locked' flag</t>
  </si>
  <si>
    <t xml:space="preserve">Decide</t>
  </si>
  <si>
    <t xml:space="preserve">Confirm it's not a stale OpenProject workflow artifact before using a field slot</t>
  </si>
  <si>
    <t xml:space="preserve">done</t>
  </si>
  <si>
    <t xml:space="preserve">Resolution or % Done custom field</t>
  </si>
  <si>
    <t xml:space="preserve">These are semantically different in Jira — pick one deliberately</t>
  </si>
  <si>
    <t xml:space="preserve">estimated</t>
  </si>
  <si>
    <t xml:space="preserve">Original Estimate</t>
  </si>
  <si>
    <t xml:space="preserve">Convert units</t>
  </si>
  <si>
    <t xml:space="preserve">OpenProject stores decimal hours; Jira wants Xh Ym or seconds depending on importer version</t>
  </si>
  <si>
    <t xml:space="preserve">created</t>
  </si>
  <si>
    <t xml:space="preserve">Created</t>
  </si>
  <si>
    <t xml:space="preserve">Post-import / admin option</t>
  </si>
  <si>
    <t xml:space="preserve">Not directly settable via standard CSV importer unless 'allow admin to set dates' is enabled</t>
  </si>
  <si>
    <t xml:space="preserve">updated</t>
  </si>
  <si>
    <t xml:space="preserve">Updated</t>
  </si>
  <si>
    <t xml:space="preserve">Same caveat as created</t>
  </si>
  <si>
    <t xml:space="preserve">start</t>
  </si>
  <si>
    <t xml:space="preserve">Start Date (custom field)</t>
  </si>
  <si>
    <t xml:space="preserve">responsible</t>
  </si>
  <si>
    <t xml:space="preserve">Separate custom field (if distinct from Assignee)</t>
  </si>
  <si>
    <t xml:space="preserve">OpenProject has both Assignee and Responsible — don't collapse unless confirmed interchangeable</t>
  </si>
  <si>
    <t xml:space="preserve">budget</t>
  </si>
  <si>
    <t xml:space="preserve">Custom field, or drop</t>
  </si>
  <si>
    <t xml:space="preserve">Drop if not tracked downstream</t>
  </si>
  <si>
    <t xml:space="preserve">position</t>
  </si>
  <si>
    <t xml:space="preserve">Drop</t>
  </si>
  <si>
    <t xml:space="preserve">OpenProject's internal sort order — no Jira equivalent worth preserving</t>
  </si>
  <si>
    <t xml:space="preserve">story</t>
  </si>
  <si>
    <t xml:space="preserve">Story Points</t>
  </si>
  <si>
    <t xml:space="preserve">remaining</t>
  </si>
  <si>
    <t xml:space="preserve">Remaining Estimate</t>
  </si>
  <si>
    <t xml:space="preserve">Same unit-conversion caveat as estimated</t>
  </si>
  <si>
    <t xml:space="preserve">derived</t>
  </si>
  <si>
    <t xml:space="preserve">OpenProject-calculated field (derived start/due from children)</t>
  </si>
  <si>
    <t xml:space="preserve">schedule</t>
  </si>
  <si>
    <t xml:space="preserve">OpenProject scheduling-mode flag — no Jira equivalent</t>
  </si>
  <si>
    <t xml:space="preserve">hibernate</t>
  </si>
  <si>
    <t xml:space="preserve">Hibernate ORM/ActiveRecord internal artifact from raw DB export, not a user field</t>
  </si>
  <si>
    <t xml:space="preserve">parent</t>
  </si>
  <si>
    <t xml:space="preserve">See Derived Columns tab</t>
  </si>
  <si>
    <t xml:space="preserve">Map via derived columns</t>
  </si>
  <si>
    <t xml:space="preserve">Resolved into parent_initiative / parent_epic / parent_subtask / parent_same_link / 'is the Child of' — see Derived Columns tab</t>
  </si>
  <si>
    <t xml:space="preserve">comments</t>
  </si>
  <si>
    <t xml:space="preserve">Comment (via REST API, {panel} macro)</t>
  </si>
  <si>
    <t xml:space="preserve">Map — same pass as issue</t>
  </si>
  <si>
    <t xml:space="preserve">Only needs the row's own new key — created same pass as the issue, no dependency on other rows</t>
  </si>
  <si>
    <t xml:space="preserve">attachments (AttachmentPath)</t>
  </si>
  <si>
    <t xml:space="preserve">Attachment (via jira_attach.py)</t>
  </si>
  <si>
    <t xml:space="preserve">Only needs the row's own new key — folded into Pass 0-4, not a separate final pass</t>
  </si>
  <si>
    <t xml:space="preserve">includes</t>
  </si>
  <si>
    <t xml:space="preserve">Issue Link — Includes</t>
  </si>
  <si>
    <t xml:space="preserve">Map via derived column</t>
  </si>
  <si>
    <t xml:space="preserve">Not a Jira default link type — create it, or map to closest existing type (e.g. 'relates to'). Pass 5 only</t>
  </si>
  <si>
    <t xml:space="preserve">blocks</t>
  </si>
  <si>
    <t xml:space="preserve">Issue Link — Blocks</t>
  </si>
  <si>
    <t xml:space="preserve">Jira system default. Confirm 'requires' isn't just its inverse direction before creating both. Pass 5 only</t>
  </si>
  <si>
    <t xml:space="preserve">relates</t>
  </si>
  <si>
    <t xml:space="preserve">Issue Link — Relates</t>
  </si>
  <si>
    <t xml:space="preserve">Jira system default ('relates to'). Pass 5 only</t>
  </si>
  <si>
    <t xml:space="preserve">duplicates</t>
  </si>
  <si>
    <t xml:space="preserve">Issue Link — Duplicates</t>
  </si>
  <si>
    <t xml:space="preserve">Jira system default, symmetric (duplicates / is duplicated by). Pass 5 only</t>
  </si>
  <si>
    <t xml:space="preserve">follows</t>
  </si>
  <si>
    <t xml:space="preserve">Issue Link — Follows/Precedes</t>
  </si>
  <si>
    <t xml:space="preserve">Usually a custom link type — confirm it exists in your instance before Pass 5. Check against 'blocks/requires' for a possible duplicate pair</t>
  </si>
  <si>
    <t xml:space="preserve">requires</t>
  </si>
  <si>
    <t xml:space="preserve">Issue Link — Requires</t>
  </si>
  <si>
    <t xml:space="preserve">Check whether this is just the inverse direction of 'blocks' in your export — if so, only import one direction, not both. Pass 5 only</t>
  </si>
  <si>
    <t xml:space="preserve">Value-Mapping Lookup Tables</t>
  </si>
  <si>
    <t xml:space="preserve">Fill in each table before the relevant pass. These are the most common source of a failed or half-broken import.</t>
  </si>
  <si>
    <t xml:space="preserve">Issue Type Map (24 → 6)</t>
  </si>
  <si>
    <t xml:space="preserve">OpenProject Type</t>
  </si>
  <si>
    <t xml:space="preserve">Jira Issue Type</t>
  </si>
  <si>
    <t xml:space="preserve">Status Map</t>
  </si>
  <si>
    <t xml:space="preserve">OpenProject Status</t>
  </si>
  <si>
    <t xml:space="preserve">Jira Status</t>
  </si>
  <si>
    <t xml:space="preserve">Priority Map</t>
  </si>
  <si>
    <t xml:space="preserve">OpenProject Priority</t>
  </si>
  <si>
    <t xml:space="preserve">Jira Priority</t>
  </si>
  <si>
    <t xml:space="preserve">User Map (Assignee / Author / Responsible)</t>
  </si>
  <si>
    <t xml:space="preserve">OpenProject Username</t>
  </si>
  <si>
    <t xml:space="preserve">Jira Username or Email</t>
  </si>
  <si>
    <t xml:space="preserve">Parent / Hierarchy Link Types</t>
  </si>
  <si>
    <t xml:space="preserve">Relationship</t>
  </si>
  <si>
    <t xml:space="preserve">Jira Link Type ID</t>
  </si>
  <si>
    <t xml:space="preserve">Direction</t>
  </si>
  <si>
    <t xml:space="preserve">Child-Parent</t>
  </si>
  <si>
    <t xml:space="preserve">10532</t>
  </si>
  <si>
    <t xml:space="preserve">inward: is parent of / outward: is a child of</t>
  </si>
  <si>
    <t xml:space="preserve">Parent-Child</t>
  </si>
  <si>
    <t xml:space="preserve">10555</t>
  </si>
  <si>
    <t xml:space="preserve">inward: is the Child of / outward: is the Parent of</t>
  </si>
  <si>
    <t xml:space="preserve">Selected for parent_same_link / 'is the Child of' →</t>
  </si>
  <si>
    <t xml:space="preserve">Peer Relation Link Types (Pass 5 — confirm all 6 IDs in your instance)</t>
  </si>
  <si>
    <t xml:space="preserve">OpenProject Relation</t>
  </si>
  <si>
    <t xml:space="preserve">Direction / Notes</t>
  </si>
  <si>
    <t xml:space="preserve">Not a Jira default — create custom link type, or map to 'relates to'</t>
  </si>
  <si>
    <t xml:space="preserve">Jira system default: outward 'blocks' / inward 'is blocked by'</t>
  </si>
  <si>
    <t xml:space="preserve">Jira system default: 'relates to' (symmetric)</t>
  </si>
  <si>
    <t xml:space="preserve">Jira system default: 'duplicates' / 'is duplicated by' (symmetric)</t>
  </si>
  <si>
    <t xml:space="preserve">Usually custom — confirm it exists. Check whether this is just 'blocks'/'requires' reversed before treating as separate</t>
  </si>
  <si>
    <t xml:space="preserve">Check whether this is just the inverse direction of 'blocks' in your export — if so, import only one direction</t>
  </si>
  <si>
    <t xml:space="preserve">OP-ID → Jira Key Map (single running table, appended after every pass)</t>
  </si>
  <si>
    <t xml:space="preserve">After each pass's export, paste new rows at the bottom — never overwrite. All Derived Columns formulas resolve through THIS tab, so every pass sees every prior pass's keys with no per-pass rewiring.</t>
  </si>
  <si>
    <t xml:space="preserve">id (OP ID / op-ticket-legacy)</t>
  </si>
  <si>
    <t xml:space="preserve">jira_key</t>
  </si>
  <si>
    <t xml:space="preserve">source pass</t>
  </si>
  <si>
    <t xml:space="preserve">duplicate? (flag)</t>
  </si>
  <si>
    <t xml:space="preserve">1001</t>
  </si>
  <si>
    <t xml:space="preserve">CMIS-101</t>
  </si>
  <si>
    <t xml:space="preserve">Pass 0</t>
  </si>
  <si>
    <t xml:space="preserve">1002</t>
  </si>
  <si>
    <t xml:space="preserve">CMIS-102</t>
  </si>
  <si>
    <t xml:space="preserve">Pass 1</t>
  </si>
  <si>
    <t xml:space="preserve">1003</t>
  </si>
  <si>
    <t xml:space="preserve">CMIS-103</t>
  </si>
  <si>
    <t xml:space="preserve">Pass 2</t>
  </si>
  <si>
    <t xml:space="preserve">1004</t>
  </si>
  <si>
    <t xml:space="preserve">CMIS-104</t>
  </si>
  <si>
    <t xml:space="preserve">1008</t>
  </si>
  <si>
    <t xml:space="preserve">CMIS-108</t>
  </si>
  <si>
    <t xml:space="preserve">Pass 3</t>
  </si>
  <si>
    <t xml:space="preserve">Row 5 onward: id and jira_key are pasted values from each pass's Jira export. Column D formula is pre-filled down — extend it as you add rows. A 'DUPLICATE' flag means the same OP ID got a Jira key twice (usually a rerun without clearing test data) — resolve before any later pass consumes this map.</t>
  </si>
  <si>
    <t xml:space="preserve">Streamlined Import Pass Sequence</t>
  </si>
  <si>
    <t xml:space="preserve">Comments and attachments ride along with each pass (0-4) — they only need the row's own new key. All 6 peer relations (includes/blocks/relates/duplicates/follows/requires) move to a single final pass, since any of them can target a row from any earlier OR later pass.</t>
  </si>
  <si>
    <t xml:space="preserve">Pass</t>
  </si>
  <si>
    <t xml:space="preserve">Types included</t>
  </si>
  <si>
    <t xml:space="preserve">Parent column(s) mapped this pass</t>
  </si>
  <si>
    <t xml:space="preserve">Parent column(s) left unmapped/ignored this pass</t>
  </si>
  <si>
    <t xml:space="preserve">Prerequisite</t>
  </si>
  <si>
    <t xml:space="preserve">Action / notes</t>
  </si>
  <si>
    <t xml:space="preserve">Milestone
Phase
Risk</t>
  </si>
  <si>
    <t xml:space="preserve">None</t>
  </si>
  <si>
    <t xml:space="preserve">All parent columns (none apply — top of hierarchy)</t>
  </si>
  <si>
    <t xml:space="preserve">None — first import</t>
  </si>
  <si>
    <t xml:space="preserve">Create issues + comments + attachments together. Export from Jira: Key + op-ticket-legacy → build OP ID→Jira key map</t>
  </si>
  <si>
    <t xml:space="preserve">Epic
Feature</t>
  </si>
  <si>
    <t xml:space="preserve">parent_initiative
(Step 2 — Jira key)</t>
  </si>
  <si>
    <t xml:space="preserve">parent_epic
parent_subtask
parent_same_link
is the Child of</t>
  </si>
  <si>
    <t xml:space="preserve">Pass 0 complete
OP ID→Jira key map ready</t>
  </si>
  <si>
    <t xml:space="preserve">Create issues + comments + attachments together. Export: Key + op-ticket-legacy → update mapping file</t>
  </si>
  <si>
    <t xml:space="preserve">Story
Task
Bug
Improvement
New feature
Requirement
User story
+ same-project rows</t>
  </si>
  <si>
    <t xml:space="preserve">parent_epic
parent_same_link</t>
  </si>
  <si>
    <t xml:space="preserve">parent_initiative
parent_subtask
is the Child of</t>
  </si>
  <si>
    <t xml:space="preserve">Pass 1 complete
Epic names exist in Jira</t>
  </si>
  <si>
    <t xml:space="preserve">Create issues + comments + attachments together. Verify Epic links resolved on import log</t>
  </si>
  <si>
    <t xml:space="preserve">Any type where 'is the Child of' col is non-blank</t>
  </si>
  <si>
    <t xml:space="preserve">is the Child of</t>
  </si>
  <si>
    <t xml:space="preserve">parent_initiative
parent_epic
parent_subtask
parent_same_link</t>
  </si>
  <si>
    <t xml:space="preserve">Pass 0 + 1 + 2 complete
(both sides of link must exist)</t>
  </si>
  <si>
    <t xml:space="preserve">Comments/attachments for these rows already handled in their origin pass. Check import log for unresolved links</t>
  </si>
  <si>
    <t xml:space="preserve">Pass 4</t>
  </si>
  <si>
    <t xml:space="preserve">Sub-task
Review task</t>
  </si>
  <si>
    <t xml:space="preserve">parent_subtask
is the Child of (cross-project only)</t>
  </si>
  <si>
    <t xml:space="preserve">parent_initiative
parent_epic
parent_same_link</t>
  </si>
  <si>
    <t xml:space="preserve">Pass 2 complete
All parents exist in Jira</t>
  </si>
  <si>
    <t xml:space="preserve">Create issues + comments + attachments together. Verify subtask-parent-id resolved on import log</t>
  </si>
  <si>
    <t xml:space="preserve">Pass 5 (relations)</t>
  </si>
  <si>
    <t xml:space="preserve">Any type with a peer relation populated</t>
  </si>
  <si>
    <t xml:space="preserve">includes
blocks
relates
duplicates
follows
requires</t>
  </si>
  <si>
    <t xml:space="preserve">all hierarchy parent columns (n/a — different link category)</t>
  </si>
  <si>
    <t xml:space="preserve">Pass 0-4 complete
ALL rows have real Jira keys — a relation can point to a row created in any pass, including the last</t>
  </si>
  <si>
    <t xml:space="preserve">Confirm all 6 link type IDs in Lookup Tables tab first. Check for blocks/requires and follows/its-inverse duplicate-direction pairs before running. Check import log for unresolved links (missing key = row skipped, not soft-failed)</t>
  </si>
  <si>
    <t xml:space="preserve">Derived Parent / Link Columns — Formulas &amp; Logic</t>
  </si>
  <si>
    <t xml:space="preserve">Columns A=Issue ID, B=Type, C=Project, AB=raw parent reference. New columns AC-AH hold raw relation references (one per relation type).</t>
  </si>
  <si>
    <t xml:space="preserve">Column F shows the final translation step: each derived column above returns an OP ID — column F converts that into the real Jira key via OP-ID_to_Key_Map before it goes into the CSV.</t>
  </si>
  <si>
    <t xml:space="preserve">Column name</t>
  </si>
  <si>
    <t xml:space="preserve">Fires when (plain English)</t>
  </si>
  <si>
    <t xml:space="preserve">Formula (row 2 example)</t>
  </si>
  <si>
    <t xml:space="preserve">Resolves to</t>
  </si>
  <si>
    <t xml:space="preserve">Used in Pass</t>
  </si>
  <si>
    <t xml:space="preserve">Resolves via OP-ID_to_Key_Map (final CSV value)</t>
  </si>
  <si>
    <t xml:space="preserve">parent_initiative</t>
  </si>
  <si>
    <t xml:space="preserve">Parent exists, same project, current row isn't Sub-task/Review task, AND parent's type is Milestone/Phase/Risk</t>
  </si>
  <si>
    <t xml:space="preserve">Parent Link (Advanced Roadmaps field)</t>
  </si>
  <si>
    <t xml:space="preserve">INDEX/MATCH against OP-ID_to_Key_Map, keyed on the parent_initiative OP-ID value</t>
  </si>
  <si>
    <t xml:space="preserve">parent_epic</t>
  </si>
  <si>
    <t xml:space="preserve">Reserved for Story→Epic linking. Still not implemented — needs a lookup returning the parent's Epic Name, only when parent's type = Epic/Feature</t>
  </si>
  <si>
    <t xml:space="preserve">NOT YET IMPLEMENTED</t>
  </si>
  <si>
    <t xml:space="preserve">Epic Link (Jira Software field) — by NAME, not ID</t>
  </si>
  <si>
    <t xml:space="preserve">Pass 2 (once implemented)</t>
  </si>
  <si>
    <t xml:space="preserve">N/A until parent_epic formula is implemented (resolves to an Epic NAME, not a key -- no map lookup needed)</t>
  </si>
  <si>
    <t xml:space="preserve">parent_subtask</t>
  </si>
  <si>
    <t xml:space="preserve">Parent exists, same project, current row IS Sub-task/Review task</t>
  </si>
  <si>
    <t xml:space="preserve">Parent Id (Jira Core field)</t>
  </si>
  <si>
    <t xml:space="preserve">INDEX/MATCH against OP-ID_to_Key_Map, keyed on the parent_subtask OP-ID value</t>
  </si>
  <si>
    <t xml:space="preserve">parent_same_link</t>
  </si>
  <si>
    <t xml:space="preserve">Parent exists, same project, current row isn't Sub-task/Review task, AND parent's type is NOT Epic/Feature/Milestone/Phase/Risk</t>
  </si>
  <si>
    <t xml:space="preserve">Generic Issue Link, type 10532 'Child-Parent'</t>
  </si>
  <si>
    <t xml:space="preserve">INDEX/MATCH against OP-ID_to_Key_Map, keyed on the parent_same_link OP-ID value</t>
  </si>
  <si>
    <t xml:space="preserve">Catch-all: parent reference exists but failed the same-project check in the four formulas above — cross-project parents</t>
  </si>
  <si>
    <t xml:space="preserve">Inferred from the project-mismatch exclusions above; make it an explicit column if you want it first-class rather than inferred</t>
  </si>
  <si>
    <t xml:space="preserve">Generic Issue Link, type 10555 'Parent-Child' — cross-project safe</t>
  </si>
  <si>
    <t xml:space="preserve">Pass 3, and Pass 4 (cross-project subtasks)</t>
  </si>
  <si>
    <t xml:space="preserve">INDEX/MATCH against OP-ID_to_Key_Map, keyed on the raw cross-project parent OP-ID</t>
  </si>
  <si>
    <t xml:space="preserve">Raw 'includes' reference exists AND target ID exists anywhere in column A — no type/project restriction</t>
  </si>
  <si>
    <t xml:space="preserve">Issue Link — 'Includes' (create custom type, or map to 'relates to')</t>
  </si>
  <si>
    <t xml:space="preserve">Pass 5</t>
  </si>
  <si>
    <t xml:space="preserve">INDEX/MATCH against OP-ID_to_Key_Map, keyed on the includes OP-ID value (col AC)</t>
  </si>
  <si>
    <t xml:space="preserve">Raw 'blocks' reference exists AND target ID exists anywhere in column A</t>
  </si>
  <si>
    <t xml:space="preserve">Issue Link — 'Blocks' (Jira system default)</t>
  </si>
  <si>
    <t xml:space="preserve">INDEX/MATCH against OP-ID_to_Key_Map, keyed on the blocks OP-ID value (col AD)</t>
  </si>
  <si>
    <t xml:space="preserve">Raw 'relates' reference exists AND target ID exists anywhere in column A</t>
  </si>
  <si>
    <t xml:space="preserve">Issue Link — 'Relates' (Jira system default)</t>
  </si>
  <si>
    <t xml:space="preserve">INDEX/MATCH against OP-ID_to_Key_Map, keyed on the relates OP-ID value (col AE)</t>
  </si>
  <si>
    <t xml:space="preserve">Raw 'duplicates' reference exists AND target ID exists anywhere in column A</t>
  </si>
  <si>
    <t xml:space="preserve">Issue Link — 'Duplicates' (Jira system default, symmetric)</t>
  </si>
  <si>
    <t xml:space="preserve">INDEX/MATCH against OP-ID_to_Key_Map, keyed on the duplicates OP-ID value (col AF)</t>
  </si>
  <si>
    <t xml:space="preserve">Raw 'follows' reference exists AND target ID exists anywhere in column A</t>
  </si>
  <si>
    <t xml:space="preserve">Issue Link — 'Follows/Precedes' (confirm type exists; check vs. requires for duplicate direction)</t>
  </si>
  <si>
    <t xml:space="preserve">INDEX/MATCH against OP-ID_to_Key_Map, keyed on the follows OP-ID value (col AG)</t>
  </si>
  <si>
    <t xml:space="preserve">Raw 'requires' reference exists AND target ID exists anywhere in column A</t>
  </si>
  <si>
    <t xml:space="preserve">Issue Link — 'Requires' (check vs. blocks for duplicate direction before importing both)</t>
  </si>
  <si>
    <t xml:space="preserve">INDEX/MATCH against OP-ID_to_Key_Map, keyed on the requires OP-ID value (col AH)</t>
  </si>
  <si>
    <t xml:space="preserve">Pass 5 — Relations Import: CSV Wizard Field Mapping</t>
  </si>
  <si>
    <t xml:space="preserve">The Jira CSV importer maps ONE link type per CSV column — so each of the 6 relations needs its own column, each mapped separately in the wizard's field-mapping step. The Key column carries the row's OWN Jira key (resolved from the OP ID→key map after Pass 0-4), so the importer can match existing issues instead of creating new ones.</t>
  </si>
  <si>
    <t xml:space="preserve">Import Wizard: Column → Field Mapping</t>
  </si>
  <si>
    <t xml:space="preserve">CSV Column</t>
  </si>
  <si>
    <t xml:space="preserve">Jira Import Wizard Field</t>
  </si>
  <si>
    <t xml:space="preserve">Link Type selected in wizard</t>
  </si>
  <si>
    <t xml:space="preserve">Notes</t>
  </si>
  <si>
    <t xml:space="preserve">Key</t>
  </si>
  <si>
    <t xml:space="preserve">Issue Key (Existing Issue)</t>
  </si>
  <si>
    <t xml:space="preserve">n/a — matches the row itself</t>
  </si>
  <si>
    <t xml:space="preserve">Must be the real Jira key, not the OP ID — resolved via the OP ID→key map built in Pass 0-4</t>
  </si>
  <si>
    <t xml:space="preserve">Link</t>
  </si>
  <si>
    <t xml:space="preserve">Includes (custom — create before running, or map to 'relates to')</t>
  </si>
  <si>
    <t xml:space="preserve">Target must be a real Jira key at mapping time</t>
  </si>
  <si>
    <t xml:space="preserve">Blocks</t>
  </si>
  <si>
    <t xml:space="preserve">Jira system default — outward 'blocks'</t>
  </si>
  <si>
    <t xml:space="preserve">Relates</t>
  </si>
  <si>
    <t xml:space="preserve">Jira system default — 'relates to' (symmetric)</t>
  </si>
  <si>
    <t xml:space="preserve">Duplicates</t>
  </si>
  <si>
    <t xml:space="preserve">Jira system default — symmetric, both sides update automatically</t>
  </si>
  <si>
    <t xml:space="preserve">Follows/Precedes (custom — confirm exists)</t>
  </si>
  <si>
    <t xml:space="preserve">Check against 'requires' below for a duplicate-direction pair before mapping both</t>
  </si>
  <si>
    <t xml:space="preserve">Requires (or inverse of 'blocks')</t>
  </si>
  <si>
    <t xml:space="preserve">If this is just 'blocks' reversed in your export, map only one of the two columns, not both</t>
  </si>
  <si>
    <t xml:space="preserve">Sample Pass 5 CSV — what the file actually looks like</t>
  </si>
  <si>
    <t xml:space="preserve">CMIS-155</t>
  </si>
  <si>
    <t xml:space="preserve">Note: CMIS-108 'follows' CMIS-101 is the same relationship as CMIS-101 being blocked by CMIS-108 — if your export gave you both blocks (on 101) AND requires/follows (on 108) for the same pair, that's the duplicate-direction case flagged above. Only one row should carry it.</t>
  </si>
  <si>
    <t xml:space="preserve">Pass 5 Pre-flight Checklist</t>
  </si>
  <si>
    <t xml:space="preserve">☐ All 6 link type IDs confirmed in Lookup Tables tab (Jira admin &gt; Issue Linking screen)</t>
  </si>
  <si>
    <t xml:space="preserve">☐ 'Includes' link type created in Jira if not mapping to an existing type</t>
  </si>
  <si>
    <t xml:space="preserve">☐ 'Follows/Precedes' link type confirmed to exist (often not a default)</t>
  </si>
  <si>
    <t xml:space="preserve">☐ Reviewed blocks/requires and follows/precedes pairs for duplicate-direction rows — deduplicated to one direction each</t>
  </si>
  <si>
    <t xml:space="preserve">☐ Confirmed every value in the 6 relation columns is a REAL JIRA KEY, not an OP ID (i.e. derived columns have been resolved post Pass 0-4)</t>
  </si>
  <si>
    <t xml:space="preserve">☐ Ran on a 10-20 row test batch first; spot-checked both directions of each link type render correctly on the issue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</si>
</sst>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1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1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15" hidden="false" customHeight="false" outlineLevel="0" collapsed="false">
      <c r="A8" s="4" t="s">
        <v>18</v>
      </c>
      <c r="B8" s="4" t="s">
        <v>19</v>
      </c>
      <c r="C8" s="4" t="s">
        <v>8</v>
      </c>
      <c r="D8" s="4" t="s">
        <v>20</v>
      </c>
    </row>
    <row r="9" customFormat="false" ht="15" hidden="false" customHeight="false" outlineLevel="0" collapsed="false">
      <c r="A9" s="4" t="s">
        <v>21</v>
      </c>
      <c r="B9" s="4" t="s">
        <v>22</v>
      </c>
      <c r="C9" s="4" t="s">
        <v>23</v>
      </c>
      <c r="D9" s="4"/>
    </row>
    <row r="10" customFormat="false" ht="23.85" hidden="false" customHeight="false" outlineLevel="0" collapsed="false">
      <c r="A10" s="4" t="s">
        <v>24</v>
      </c>
      <c r="B10" s="4" t="s">
        <v>25</v>
      </c>
      <c r="C10" s="4" t="s">
        <v>26</v>
      </c>
      <c r="D10" s="4" t="s">
        <v>27</v>
      </c>
    </row>
    <row r="11" customFormat="false" ht="15" hidden="false" customHeight="false" outlineLevel="0" collapsed="false">
      <c r="A11" s="4" t="s">
        <v>28</v>
      </c>
      <c r="B11" s="4" t="s">
        <v>29</v>
      </c>
      <c r="C11" s="4" t="s">
        <v>23</v>
      </c>
      <c r="D11" s="4" t="s">
        <v>30</v>
      </c>
    </row>
    <row r="12" customFormat="false" ht="15" hidden="false" customHeight="false" outlineLevel="0" collapsed="false">
      <c r="A12" s="4" t="s">
        <v>31</v>
      </c>
      <c r="B12" s="4" t="s">
        <v>32</v>
      </c>
      <c r="C12" s="4" t="s">
        <v>8</v>
      </c>
      <c r="D12" s="4" t="s">
        <v>33</v>
      </c>
    </row>
    <row r="13" customFormat="false" ht="15" hidden="false" customHeight="false" outlineLevel="0" collapsed="false">
      <c r="A13" s="4" t="s">
        <v>34</v>
      </c>
      <c r="B13" s="4" t="s">
        <v>35</v>
      </c>
      <c r="C13" s="4" t="s">
        <v>16</v>
      </c>
      <c r="D13" s="4" t="s">
        <v>36</v>
      </c>
    </row>
    <row r="14" customFormat="false" ht="15" hidden="false" customHeight="false" outlineLevel="0" collapsed="false">
      <c r="A14" s="4" t="s">
        <v>37</v>
      </c>
      <c r="B14" s="4" t="s">
        <v>38</v>
      </c>
      <c r="C14" s="4" t="s">
        <v>39</v>
      </c>
      <c r="D14" s="4" t="s">
        <v>40</v>
      </c>
    </row>
    <row r="15" customFormat="false" ht="15" hidden="false" customHeight="false" outlineLevel="0" collapsed="false">
      <c r="A15" s="4" t="s">
        <v>41</v>
      </c>
      <c r="B15" s="4" t="s">
        <v>42</v>
      </c>
      <c r="C15" s="4" t="s">
        <v>16</v>
      </c>
      <c r="D15" s="4" t="s">
        <v>43</v>
      </c>
    </row>
    <row r="16" customFormat="false" ht="15" hidden="false" customHeight="false" outlineLevel="0" collapsed="false">
      <c r="A16" s="4" t="s">
        <v>44</v>
      </c>
      <c r="B16" s="4" t="s">
        <v>45</v>
      </c>
      <c r="C16" s="4" t="s">
        <v>23</v>
      </c>
      <c r="D16" s="4"/>
    </row>
    <row r="17" customFormat="false" ht="15" hidden="false" customHeight="false" outlineLevel="0" collapsed="false">
      <c r="A17" s="4" t="s">
        <v>46</v>
      </c>
      <c r="B17" s="4" t="s">
        <v>47</v>
      </c>
      <c r="C17" s="4" t="s">
        <v>39</v>
      </c>
      <c r="D17" s="4" t="s">
        <v>48</v>
      </c>
    </row>
    <row r="18" customFormat="false" ht="23.85" hidden="false" customHeight="false" outlineLevel="0" collapsed="false">
      <c r="A18" s="5" t="s">
        <v>49</v>
      </c>
      <c r="B18" s="5" t="s">
        <v>50</v>
      </c>
      <c r="C18" s="5" t="s">
        <v>51</v>
      </c>
      <c r="D18" s="5" t="s">
        <v>52</v>
      </c>
    </row>
    <row r="19" customFormat="false" ht="15" hidden="false" customHeight="false" outlineLevel="0" collapsed="false">
      <c r="A19" s="5" t="s">
        <v>53</v>
      </c>
      <c r="B19" s="5" t="s">
        <v>54</v>
      </c>
      <c r="C19" s="5" t="s">
        <v>51</v>
      </c>
      <c r="D19" s="5" t="s">
        <v>55</v>
      </c>
    </row>
    <row r="20" customFormat="false" ht="23.85" hidden="false" customHeight="false" outlineLevel="0" collapsed="false">
      <c r="A20" s="4" t="s">
        <v>56</v>
      </c>
      <c r="B20" s="4" t="s">
        <v>57</v>
      </c>
      <c r="C20" s="4" t="s">
        <v>58</v>
      </c>
      <c r="D20" s="4" t="s">
        <v>59</v>
      </c>
    </row>
    <row r="21" customFormat="false" ht="23.85" hidden="false" customHeight="false" outlineLevel="0" collapsed="false">
      <c r="A21" s="4" t="s">
        <v>60</v>
      </c>
      <c r="B21" s="4" t="s">
        <v>61</v>
      </c>
      <c r="C21" s="4" t="s">
        <v>62</v>
      </c>
      <c r="D21" s="4" t="s">
        <v>63</v>
      </c>
    </row>
    <row r="22" customFormat="false" ht="15" hidden="false" customHeight="false" outlineLevel="0" collapsed="false">
      <c r="A22" s="4" t="s">
        <v>64</v>
      </c>
      <c r="B22" s="4" t="s">
        <v>65</v>
      </c>
      <c r="C22" s="4" t="s">
        <v>62</v>
      </c>
      <c r="D22" s="4" t="s">
        <v>66</v>
      </c>
    </row>
    <row r="23" customFormat="false" ht="15" hidden="false" customHeight="false" outlineLevel="0" collapsed="false">
      <c r="A23" s="4" t="s">
        <v>67</v>
      </c>
      <c r="B23" s="4" t="s">
        <v>68</v>
      </c>
      <c r="C23" s="4" t="s">
        <v>23</v>
      </c>
      <c r="D23" s="4"/>
    </row>
    <row r="24" customFormat="false" ht="23.85" hidden="false" customHeight="false" outlineLevel="0" collapsed="false">
      <c r="A24" s="5" t="s">
        <v>69</v>
      </c>
      <c r="B24" s="5" t="s">
        <v>70</v>
      </c>
      <c r="C24" s="5" t="s">
        <v>51</v>
      </c>
      <c r="D24" s="5" t="s">
        <v>71</v>
      </c>
    </row>
    <row r="25" customFormat="false" ht="15" hidden="false" customHeight="false" outlineLevel="0" collapsed="false">
      <c r="A25" s="5" t="s">
        <v>72</v>
      </c>
      <c r="B25" s="5" t="s">
        <v>73</v>
      </c>
      <c r="C25" s="5" t="s">
        <v>51</v>
      </c>
      <c r="D25" s="5" t="s">
        <v>74</v>
      </c>
    </row>
    <row r="26" customFormat="false" ht="23.85" hidden="false" customHeight="false" outlineLevel="0" collapsed="false">
      <c r="A26" s="6" t="s">
        <v>75</v>
      </c>
      <c r="B26" s="6" t="s">
        <v>76</v>
      </c>
      <c r="C26" s="6" t="s">
        <v>76</v>
      </c>
      <c r="D26" s="6" t="s">
        <v>77</v>
      </c>
    </row>
    <row r="27" customFormat="false" ht="15" hidden="false" customHeight="false" outlineLevel="0" collapsed="false">
      <c r="A27" s="4" t="s">
        <v>78</v>
      </c>
      <c r="B27" s="4" t="s">
        <v>79</v>
      </c>
      <c r="C27" s="4" t="s">
        <v>23</v>
      </c>
      <c r="D27" s="4"/>
    </row>
    <row r="28" customFormat="false" ht="15" hidden="false" customHeight="false" outlineLevel="0" collapsed="false">
      <c r="A28" s="4" t="s">
        <v>80</v>
      </c>
      <c r="B28" s="4" t="s">
        <v>81</v>
      </c>
      <c r="C28" s="4" t="s">
        <v>58</v>
      </c>
      <c r="D28" s="4" t="s">
        <v>82</v>
      </c>
    </row>
    <row r="29" customFormat="false" ht="15" hidden="false" customHeight="false" outlineLevel="0" collapsed="false">
      <c r="A29" s="6" t="s">
        <v>83</v>
      </c>
      <c r="B29" s="6" t="s">
        <v>76</v>
      </c>
      <c r="C29" s="6" t="s">
        <v>76</v>
      </c>
      <c r="D29" s="6" t="s">
        <v>84</v>
      </c>
    </row>
    <row r="30" customFormat="false" ht="15" hidden="false" customHeight="false" outlineLevel="0" collapsed="false">
      <c r="A30" s="6" t="s">
        <v>85</v>
      </c>
      <c r="B30" s="6" t="s">
        <v>76</v>
      </c>
      <c r="C30" s="6" t="s">
        <v>76</v>
      </c>
      <c r="D30" s="6" t="s">
        <v>86</v>
      </c>
    </row>
    <row r="31" customFormat="false" ht="23.85" hidden="false" customHeight="false" outlineLevel="0" collapsed="false">
      <c r="A31" s="6" t="s">
        <v>87</v>
      </c>
      <c r="B31" s="6" t="s">
        <v>76</v>
      </c>
      <c r="C31" s="6" t="s">
        <v>76</v>
      </c>
      <c r="D31" s="6" t="s">
        <v>88</v>
      </c>
    </row>
    <row r="32" customFormat="false" ht="23.85" hidden="false" customHeight="false" outlineLevel="0" collapsed="false">
      <c r="A32" s="4" t="s">
        <v>89</v>
      </c>
      <c r="B32" s="4" t="s">
        <v>90</v>
      </c>
      <c r="C32" s="4" t="s">
        <v>91</v>
      </c>
      <c r="D32" s="4" t="s">
        <v>92</v>
      </c>
    </row>
    <row r="33" customFormat="false" ht="23.85" hidden="false" customHeight="false" outlineLevel="0" collapsed="false">
      <c r="A33" s="4" t="s">
        <v>93</v>
      </c>
      <c r="B33" s="4" t="s">
        <v>94</v>
      </c>
      <c r="C33" s="4" t="s">
        <v>95</v>
      </c>
      <c r="D33" s="4" t="s">
        <v>96</v>
      </c>
    </row>
    <row r="34" customFormat="false" ht="23.85" hidden="false" customHeight="false" outlineLevel="0" collapsed="false">
      <c r="A34" s="4" t="s">
        <v>97</v>
      </c>
      <c r="B34" s="4" t="s">
        <v>98</v>
      </c>
      <c r="C34" s="4" t="s">
        <v>95</v>
      </c>
      <c r="D34" s="4" t="s">
        <v>99</v>
      </c>
    </row>
    <row r="35" customFormat="false" ht="23.85" hidden="false" customHeight="false" outlineLevel="0" collapsed="false">
      <c r="A35" s="4" t="s">
        <v>100</v>
      </c>
      <c r="B35" s="4" t="s">
        <v>101</v>
      </c>
      <c r="C35" s="4" t="s">
        <v>102</v>
      </c>
      <c r="D35" s="4" t="s">
        <v>103</v>
      </c>
    </row>
    <row r="36" customFormat="false" ht="23.85" hidden="false" customHeight="false" outlineLevel="0" collapsed="false">
      <c r="A36" s="4" t="s">
        <v>104</v>
      </c>
      <c r="B36" s="4" t="s">
        <v>105</v>
      </c>
      <c r="C36" s="4" t="s">
        <v>102</v>
      </c>
      <c r="D36" s="4" t="s">
        <v>106</v>
      </c>
    </row>
    <row r="37" customFormat="false" ht="15" hidden="false" customHeight="false" outlineLevel="0" collapsed="false">
      <c r="A37" s="4" t="s">
        <v>107</v>
      </c>
      <c r="B37" s="4" t="s">
        <v>108</v>
      </c>
      <c r="C37" s="4" t="s">
        <v>102</v>
      </c>
      <c r="D37" s="4" t="s">
        <v>109</v>
      </c>
    </row>
    <row r="38" customFormat="false" ht="23.85" hidden="false" customHeight="false" outlineLevel="0" collapsed="false">
      <c r="A38" s="4" t="s">
        <v>110</v>
      </c>
      <c r="B38" s="4" t="s">
        <v>111</v>
      </c>
      <c r="C38" s="4" t="s">
        <v>102</v>
      </c>
      <c r="D38" s="4" t="s">
        <v>112</v>
      </c>
    </row>
    <row r="39" customFormat="false" ht="35.05" hidden="false" customHeight="false" outlineLevel="0" collapsed="false">
      <c r="A39" s="4" t="s">
        <v>113</v>
      </c>
      <c r="B39" s="4" t="s">
        <v>114</v>
      </c>
      <c r="C39" s="4" t="s">
        <v>102</v>
      </c>
      <c r="D39" s="4" t="s">
        <v>115</v>
      </c>
    </row>
    <row r="40" customFormat="false" ht="23.85" hidden="false" customHeight="false" outlineLevel="0" collapsed="false">
      <c r="A40" s="4" t="s">
        <v>116</v>
      </c>
      <c r="B40" s="4" t="s">
        <v>117</v>
      </c>
      <c r="C40" s="4" t="s">
        <v>102</v>
      </c>
      <c r="D40" s="4" t="s">
        <v>118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119</v>
      </c>
      <c r="B1" s="1"/>
      <c r="C1" s="1"/>
    </row>
    <row r="2" customFormat="false" ht="15" hidden="false" customHeight="false" outlineLevel="0" collapsed="false">
      <c r="A2" s="2" t="s">
        <v>120</v>
      </c>
      <c r="B2" s="2"/>
      <c r="C2" s="2"/>
    </row>
    <row r="4" customFormat="false" ht="15" hidden="false" customHeight="false" outlineLevel="0" collapsed="false">
      <c r="A4" s="7" t="s">
        <v>121</v>
      </c>
    </row>
    <row r="5" customFormat="false" ht="15" hidden="false" customHeight="false" outlineLevel="0" collapsed="false">
      <c r="A5" s="3" t="s">
        <v>122</v>
      </c>
      <c r="B5" s="3" t="s">
        <v>123</v>
      </c>
    </row>
    <row r="6" customFormat="false" ht="15" hidden="false" customHeight="false" outlineLevel="0" collapsed="false">
      <c r="A6" s="8"/>
      <c r="B6" s="8"/>
    </row>
    <row r="7" customFormat="false" ht="15" hidden="false" customHeight="false" outlineLevel="0" collapsed="false">
      <c r="A7" s="8"/>
      <c r="B7" s="8"/>
    </row>
    <row r="8" customFormat="false" ht="15" hidden="false" customHeight="false" outlineLevel="0" collapsed="false">
      <c r="A8" s="8"/>
      <c r="B8" s="8"/>
    </row>
    <row r="9" customFormat="false" ht="15" hidden="false" customHeight="false" outlineLevel="0" collapsed="false">
      <c r="A9" s="8"/>
      <c r="B9" s="8"/>
    </row>
    <row r="10" customFormat="false" ht="15" hidden="false" customHeight="false" outlineLevel="0" collapsed="false">
      <c r="A10" s="8"/>
      <c r="B10" s="8"/>
    </row>
    <row r="11" customFormat="false" ht="15" hidden="false" customHeight="false" outlineLevel="0" collapsed="false">
      <c r="A11" s="8"/>
      <c r="B11" s="8"/>
    </row>
    <row r="12" customFormat="false" ht="15" hidden="false" customHeight="false" outlineLevel="0" collapsed="false">
      <c r="A12" s="8"/>
      <c r="B12" s="8"/>
    </row>
    <row r="13" customFormat="false" ht="15" hidden="false" customHeight="false" outlineLevel="0" collapsed="false">
      <c r="A13" s="8"/>
      <c r="B13" s="8"/>
    </row>
    <row r="16" customFormat="false" ht="15" hidden="false" customHeight="false" outlineLevel="0" collapsed="false">
      <c r="A16" s="7" t="s">
        <v>124</v>
      </c>
    </row>
    <row r="17" customFormat="false" ht="15" hidden="false" customHeight="false" outlineLevel="0" collapsed="false">
      <c r="A17" s="3" t="s">
        <v>125</v>
      </c>
      <c r="B17" s="3" t="s">
        <v>126</v>
      </c>
    </row>
    <row r="18" customFormat="false" ht="15" hidden="false" customHeight="false" outlineLevel="0" collapsed="false">
      <c r="A18" s="8"/>
      <c r="B18" s="8"/>
    </row>
    <row r="19" customFormat="false" ht="15" hidden="false" customHeight="false" outlineLevel="0" collapsed="false">
      <c r="A19" s="8"/>
      <c r="B19" s="8"/>
    </row>
    <row r="20" customFormat="false" ht="15" hidden="false" customHeight="false" outlineLevel="0" collapsed="false">
      <c r="A20" s="8"/>
      <c r="B20" s="8"/>
    </row>
    <row r="21" customFormat="false" ht="15" hidden="false" customHeight="false" outlineLevel="0" collapsed="false">
      <c r="A21" s="8"/>
      <c r="B21" s="8"/>
    </row>
    <row r="22" customFormat="false" ht="15" hidden="false" customHeight="false" outlineLevel="0" collapsed="false">
      <c r="A22" s="8"/>
      <c r="B22" s="8"/>
    </row>
    <row r="25" customFormat="false" ht="15" hidden="false" customHeight="false" outlineLevel="0" collapsed="false">
      <c r="A25" s="7" t="s">
        <v>127</v>
      </c>
    </row>
    <row r="26" customFormat="false" ht="15" hidden="false" customHeight="false" outlineLevel="0" collapsed="false">
      <c r="A26" s="3" t="s">
        <v>128</v>
      </c>
      <c r="B26" s="3" t="s">
        <v>129</v>
      </c>
    </row>
    <row r="27" customFormat="false" ht="15" hidden="false" customHeight="false" outlineLevel="0" collapsed="false">
      <c r="A27" s="8"/>
      <c r="B27" s="8"/>
    </row>
    <row r="28" customFormat="false" ht="15" hidden="false" customHeight="false" outlineLevel="0" collapsed="false">
      <c r="A28" s="8"/>
      <c r="B28" s="8"/>
    </row>
    <row r="29" customFormat="false" ht="15" hidden="false" customHeight="false" outlineLevel="0" collapsed="false">
      <c r="A29" s="8"/>
      <c r="B29" s="8"/>
    </row>
    <row r="30" customFormat="false" ht="15" hidden="false" customHeight="false" outlineLevel="0" collapsed="false">
      <c r="A30" s="8"/>
      <c r="B30" s="8"/>
    </row>
    <row r="33" customFormat="false" ht="15" hidden="false" customHeight="false" outlineLevel="0" collapsed="false">
      <c r="A33" s="7" t="s">
        <v>130</v>
      </c>
    </row>
    <row r="34" customFormat="false" ht="26.85" hidden="false" customHeight="false" outlineLevel="0" collapsed="false">
      <c r="A34" s="3" t="s">
        <v>131</v>
      </c>
      <c r="B34" s="3" t="s">
        <v>132</v>
      </c>
    </row>
    <row r="35" customFormat="false" ht="15" hidden="false" customHeight="false" outlineLevel="0" collapsed="false">
      <c r="A35" s="8"/>
      <c r="B35" s="8"/>
    </row>
    <row r="36" customFormat="false" ht="15" hidden="false" customHeight="false" outlineLevel="0" collapsed="false">
      <c r="A36" s="8"/>
      <c r="B36" s="8"/>
    </row>
    <row r="37" customFormat="false" ht="15" hidden="false" customHeight="false" outlineLevel="0" collapsed="false">
      <c r="A37" s="8"/>
      <c r="B37" s="8"/>
    </row>
    <row r="38" customFormat="false" ht="15" hidden="false" customHeight="false" outlineLevel="0" collapsed="false">
      <c r="A38" s="8"/>
      <c r="B38" s="8"/>
    </row>
    <row r="39" customFormat="false" ht="15" hidden="false" customHeight="false" outlineLevel="0" collapsed="false">
      <c r="A39" s="8"/>
      <c r="B39" s="8"/>
    </row>
    <row r="42" customFormat="false" ht="15" hidden="false" customHeight="false" outlineLevel="0" collapsed="false">
      <c r="A42" s="7" t="s">
        <v>133</v>
      </c>
    </row>
    <row r="43" customFormat="false" ht="15" hidden="false" customHeight="false" outlineLevel="0" collapsed="false">
      <c r="A43" s="3" t="s">
        <v>134</v>
      </c>
      <c r="B43" s="3" t="s">
        <v>135</v>
      </c>
      <c r="C43" s="3" t="s">
        <v>136</v>
      </c>
    </row>
    <row r="44" customFormat="false" ht="15" hidden="false" customHeight="false" outlineLevel="0" collapsed="false">
      <c r="A44" s="8" t="s">
        <v>137</v>
      </c>
      <c r="B44" s="8" t="s">
        <v>138</v>
      </c>
      <c r="C44" s="8" t="s">
        <v>139</v>
      </c>
    </row>
    <row r="45" customFormat="false" ht="15" hidden="false" customHeight="false" outlineLevel="0" collapsed="false">
      <c r="A45" s="8" t="s">
        <v>140</v>
      </c>
      <c r="B45" s="8" t="s">
        <v>141</v>
      </c>
      <c r="C45" s="8" t="s">
        <v>142</v>
      </c>
    </row>
    <row r="46" customFormat="false" ht="15" hidden="false" customHeight="false" outlineLevel="0" collapsed="false">
      <c r="A46" s="8" t="s">
        <v>143</v>
      </c>
      <c r="B46" s="8"/>
      <c r="C46" s="8"/>
    </row>
    <row r="49" customFormat="false" ht="15" hidden="false" customHeight="false" outlineLevel="0" collapsed="false">
      <c r="A49" s="7" t="s">
        <v>144</v>
      </c>
    </row>
    <row r="50" customFormat="false" ht="15" hidden="false" customHeight="false" outlineLevel="0" collapsed="false">
      <c r="A50" s="3" t="s">
        <v>145</v>
      </c>
      <c r="B50" s="3" t="s">
        <v>135</v>
      </c>
      <c r="C50" s="3" t="s">
        <v>146</v>
      </c>
    </row>
    <row r="51" customFormat="false" ht="23.85" hidden="false" customHeight="false" outlineLevel="0" collapsed="false">
      <c r="A51" s="8" t="s">
        <v>100</v>
      </c>
      <c r="B51" s="8"/>
      <c r="C51" s="8" t="s">
        <v>147</v>
      </c>
    </row>
    <row r="52" customFormat="false" ht="15" hidden="false" customHeight="false" outlineLevel="0" collapsed="false">
      <c r="A52" s="8" t="s">
        <v>104</v>
      </c>
      <c r="B52" s="8"/>
      <c r="C52" s="8" t="s">
        <v>148</v>
      </c>
    </row>
    <row r="53" customFormat="false" ht="15" hidden="false" customHeight="false" outlineLevel="0" collapsed="false">
      <c r="A53" s="8" t="s">
        <v>107</v>
      </c>
      <c r="B53" s="8"/>
      <c r="C53" s="8" t="s">
        <v>149</v>
      </c>
    </row>
    <row r="54" customFormat="false" ht="15" hidden="false" customHeight="false" outlineLevel="0" collapsed="false">
      <c r="A54" s="8" t="s">
        <v>110</v>
      </c>
      <c r="B54" s="8"/>
      <c r="C54" s="8" t="s">
        <v>150</v>
      </c>
    </row>
    <row r="55" customFormat="false" ht="23.85" hidden="false" customHeight="false" outlineLevel="0" collapsed="false">
      <c r="A55" s="8" t="s">
        <v>113</v>
      </c>
      <c r="B55" s="8"/>
      <c r="C55" s="8" t="s">
        <v>151</v>
      </c>
    </row>
    <row r="56" customFormat="false" ht="23.85" hidden="false" customHeight="false" outlineLevel="0" collapsed="false">
      <c r="A56" s="8" t="s">
        <v>116</v>
      </c>
      <c r="B56" s="8"/>
      <c r="C56" s="8" t="s">
        <v>152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153</v>
      </c>
      <c r="B1" s="1"/>
      <c r="C1" s="1"/>
      <c r="D1" s="1"/>
    </row>
    <row r="2" customFormat="false" ht="15" hidden="false" customHeight="false" outlineLevel="0" collapsed="false">
      <c r="A2" s="2" t="s">
        <v>154</v>
      </c>
      <c r="B2" s="2"/>
      <c r="C2" s="2"/>
      <c r="D2" s="2"/>
    </row>
    <row r="4" customFormat="false" ht="15" hidden="false" customHeight="false" outlineLevel="0" collapsed="false">
      <c r="A4" s="3" t="s">
        <v>155</v>
      </c>
      <c r="B4" s="3" t="s">
        <v>156</v>
      </c>
      <c r="C4" s="3" t="s">
        <v>157</v>
      </c>
      <c r="D4" s="3" t="s">
        <v>158</v>
      </c>
    </row>
    <row r="5" customFormat="false" ht="15" hidden="false" customHeight="false" outlineLevel="0" collapsed="false">
      <c r="A5" s="6" t="s">
        <v>159</v>
      </c>
      <c r="B5" s="6" t="s">
        <v>160</v>
      </c>
      <c r="C5" s="6" t="s">
        <v>161</v>
      </c>
      <c r="D5" s="6" t="str">
        <f aca="false">IF(COUNTIF($A$5:$A$5000,A5)&gt;1,"DUPLICATE — check for rerun/overwrite","")</f>
        <v/>
      </c>
    </row>
    <row r="6" customFormat="false" ht="15" hidden="false" customHeight="false" outlineLevel="0" collapsed="false">
      <c r="A6" s="6" t="s">
        <v>162</v>
      </c>
      <c r="B6" s="6" t="s">
        <v>163</v>
      </c>
      <c r="C6" s="6" t="s">
        <v>164</v>
      </c>
      <c r="D6" s="6" t="str">
        <f aca="false">IF(COUNTIF($A$5:$A$5000,A6)&gt;1,"DUPLICATE — check for rerun/overwrite","")</f>
        <v/>
      </c>
    </row>
    <row r="7" customFormat="false" ht="15" hidden="false" customHeight="false" outlineLevel="0" collapsed="false">
      <c r="A7" s="6" t="s">
        <v>165</v>
      </c>
      <c r="B7" s="6" t="s">
        <v>166</v>
      </c>
      <c r="C7" s="6" t="s">
        <v>167</v>
      </c>
      <c r="D7" s="6" t="str">
        <f aca="false">IF(COUNTIF($A$5:$A$5000,A7)&gt;1,"DUPLICATE — check for rerun/overwrite","")</f>
        <v/>
      </c>
    </row>
    <row r="8" customFormat="false" ht="15" hidden="false" customHeight="false" outlineLevel="0" collapsed="false">
      <c r="A8" s="6" t="s">
        <v>168</v>
      </c>
      <c r="B8" s="6" t="s">
        <v>169</v>
      </c>
      <c r="C8" s="6" t="s">
        <v>167</v>
      </c>
      <c r="D8" s="6" t="str">
        <f aca="false">IF(COUNTIF($A$5:$A$5000,A8)&gt;1,"DUPLICATE — check for rerun/overwrite","")</f>
        <v/>
      </c>
    </row>
    <row r="9" customFormat="false" ht="15" hidden="false" customHeight="false" outlineLevel="0" collapsed="false">
      <c r="A9" s="6" t="s">
        <v>170</v>
      </c>
      <c r="B9" s="6" t="s">
        <v>171</v>
      </c>
      <c r="C9" s="6" t="s">
        <v>172</v>
      </c>
      <c r="D9" s="6" t="str">
        <f aca="false">IF(COUNTIF($A$5:$A$5000,A9)&gt;1,"DUPLICATE — check for rerun/overwrite","")</f>
        <v/>
      </c>
    </row>
    <row r="11" customFormat="false" ht="32.8" hidden="false" customHeight="true" outlineLevel="0" collapsed="false">
      <c r="A11" s="9" t="s">
        <v>173</v>
      </c>
      <c r="B11" s="9"/>
      <c r="C11" s="9"/>
      <c r="D11" s="9"/>
    </row>
  </sheetData>
  <mergeCells count="3">
    <mergeCell ref="A1:D1"/>
    <mergeCell ref="A2:D2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6"/>
    <col collapsed="false" customWidth="true" hidden="false" outlineLevel="0" max="4" min="4" style="0" width="30"/>
    <col collapsed="false" customWidth="true" hidden="false" outlineLevel="0" max="5" min="5" style="0" width="32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174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175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176</v>
      </c>
      <c r="B4" s="3" t="s">
        <v>177</v>
      </c>
      <c r="C4" s="3" t="s">
        <v>178</v>
      </c>
      <c r="D4" s="3" t="s">
        <v>179</v>
      </c>
      <c r="E4" s="3" t="s">
        <v>180</v>
      </c>
      <c r="F4" s="3" t="s">
        <v>181</v>
      </c>
    </row>
    <row r="5" customFormat="false" ht="35.05" hidden="false" customHeight="false" outlineLevel="0" collapsed="false">
      <c r="A5" s="5" t="s">
        <v>161</v>
      </c>
      <c r="B5" s="5" t="s">
        <v>182</v>
      </c>
      <c r="C5" s="5" t="s">
        <v>183</v>
      </c>
      <c r="D5" s="5" t="s">
        <v>184</v>
      </c>
      <c r="E5" s="5" t="s">
        <v>185</v>
      </c>
      <c r="F5" s="5" t="s">
        <v>186</v>
      </c>
    </row>
    <row r="6" customFormat="false" ht="46.25" hidden="false" customHeight="false" outlineLevel="0" collapsed="false">
      <c r="A6" s="4" t="s">
        <v>164</v>
      </c>
      <c r="B6" s="4" t="s">
        <v>187</v>
      </c>
      <c r="C6" s="4" t="s">
        <v>188</v>
      </c>
      <c r="D6" s="4" t="s">
        <v>189</v>
      </c>
      <c r="E6" s="4" t="s">
        <v>190</v>
      </c>
      <c r="F6" s="4" t="s">
        <v>191</v>
      </c>
    </row>
    <row r="7" customFormat="false" ht="91" hidden="false" customHeight="false" outlineLevel="0" collapsed="false">
      <c r="A7" s="10" t="s">
        <v>167</v>
      </c>
      <c r="B7" s="10" t="s">
        <v>192</v>
      </c>
      <c r="C7" s="10" t="s">
        <v>193</v>
      </c>
      <c r="D7" s="10" t="s">
        <v>194</v>
      </c>
      <c r="E7" s="10" t="s">
        <v>195</v>
      </c>
      <c r="F7" s="10" t="s">
        <v>196</v>
      </c>
    </row>
    <row r="8" customFormat="false" ht="46.25" hidden="false" customHeight="false" outlineLevel="0" collapsed="false">
      <c r="A8" s="10" t="s">
        <v>172</v>
      </c>
      <c r="B8" s="10" t="s">
        <v>197</v>
      </c>
      <c r="C8" s="10" t="s">
        <v>198</v>
      </c>
      <c r="D8" s="10" t="s">
        <v>199</v>
      </c>
      <c r="E8" s="10" t="s">
        <v>200</v>
      </c>
      <c r="F8" s="10" t="s">
        <v>201</v>
      </c>
    </row>
    <row r="9" customFormat="false" ht="35.05" hidden="false" customHeight="false" outlineLevel="0" collapsed="false">
      <c r="A9" s="4" t="s">
        <v>202</v>
      </c>
      <c r="B9" s="4" t="s">
        <v>203</v>
      </c>
      <c r="C9" s="4" t="s">
        <v>204</v>
      </c>
      <c r="D9" s="4" t="s">
        <v>205</v>
      </c>
      <c r="E9" s="4" t="s">
        <v>206</v>
      </c>
      <c r="F9" s="4" t="s">
        <v>207</v>
      </c>
    </row>
    <row r="10" customFormat="false" ht="68.65" hidden="false" customHeight="false" outlineLevel="0" collapsed="false">
      <c r="A10" s="11" t="s">
        <v>208</v>
      </c>
      <c r="B10" s="11" t="s">
        <v>209</v>
      </c>
      <c r="C10" s="11" t="s">
        <v>210</v>
      </c>
      <c r="D10" s="11" t="s">
        <v>211</v>
      </c>
      <c r="E10" s="11" t="s">
        <v>212</v>
      </c>
      <c r="F10" s="11" t="s">
        <v>213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8"/>
    <col collapsed="false" customWidth="true" hidden="false" outlineLevel="0" max="3" min="3" style="0" width="55"/>
    <col collapsed="false" customWidth="true" hidden="false" outlineLevel="0" max="4" min="4" style="0" width="42"/>
    <col collapsed="false" customWidth="true" hidden="false" outlineLevel="0" max="5" min="5" style="0" width="16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1" t="s">
        <v>214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215</v>
      </c>
      <c r="B2" s="2"/>
      <c r="C2" s="2"/>
      <c r="D2" s="2"/>
      <c r="E2" s="2"/>
    </row>
    <row r="3" customFormat="false" ht="15" hidden="false" customHeight="false" outlineLevel="0" collapsed="false">
      <c r="A3" s="2" t="s">
        <v>216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217</v>
      </c>
      <c r="B4" s="3" t="s">
        <v>218</v>
      </c>
      <c r="C4" s="3" t="s">
        <v>219</v>
      </c>
      <c r="D4" s="3" t="s">
        <v>220</v>
      </c>
      <c r="E4" s="3" t="s">
        <v>221</v>
      </c>
      <c r="F4" s="3" t="s">
        <v>222</v>
      </c>
    </row>
    <row r="5" customFormat="false" ht="54.75" hidden="false" customHeight="true" outlineLevel="0" collapsed="false">
      <c r="A5" s="8" t="s">
        <v>223</v>
      </c>
      <c r="B5" s="8" t="s">
        <v>224</v>
      </c>
      <c r="C5" s="8" t="str">
        <f aca="false">IF(AB2="","",IF(ISNA(MATCH(AB2,$A:$A,0)),"",IF(VLOOKUP(AB2,$A:$C,3,FALSE())&lt;&gt;C2,"",IF(OR(B2="Sub-task",B2="Review task"),"",IF(OR(VLOOKUP(AB2,$A:$B,2,FALSE())="Milestone",VLOOKUP(AB2,$A:$B,2,FALSE())="Phase",VLOOKUP(AB2,$A:$B,2,FALSE())="Risk"),AB2,"")))))</f>
        <v/>
      </c>
      <c r="D5" s="8" t="s">
        <v>225</v>
      </c>
      <c r="E5" s="8" t="s">
        <v>164</v>
      </c>
      <c r="F5" s="8" t="s">
        <v>226</v>
      </c>
    </row>
    <row r="6" customFormat="false" ht="54.75" hidden="false" customHeight="true" outlineLevel="0" collapsed="false">
      <c r="A6" s="5" t="s">
        <v>227</v>
      </c>
      <c r="B6" s="5" t="s">
        <v>228</v>
      </c>
      <c r="C6" s="5" t="s">
        <v>229</v>
      </c>
      <c r="D6" s="5" t="s">
        <v>230</v>
      </c>
      <c r="E6" s="5" t="s">
        <v>231</v>
      </c>
      <c r="F6" s="11" t="s">
        <v>232</v>
      </c>
    </row>
    <row r="7" customFormat="false" ht="54.75" hidden="false" customHeight="true" outlineLevel="0" collapsed="false">
      <c r="A7" s="8" t="s">
        <v>233</v>
      </c>
      <c r="B7" s="8" t="s">
        <v>234</v>
      </c>
      <c r="C7" s="8" t="str">
        <f aca="false">IF(AB2="","",IF(ISNA(MATCH(AB2,A:A,0)),"",IF(VLOOKUP(AB2,A:C,3,FALSE())&lt;&gt;C2,"",IF(OR(B2="Sub-task",B2="Review task"),AB2,""))))</f>
        <v/>
      </c>
      <c r="D7" s="8" t="s">
        <v>235</v>
      </c>
      <c r="E7" s="8" t="s">
        <v>202</v>
      </c>
      <c r="F7" s="8" t="s">
        <v>236</v>
      </c>
    </row>
    <row r="8" customFormat="false" ht="54.75" hidden="false" customHeight="true" outlineLevel="0" collapsed="false">
      <c r="A8" s="8" t="s">
        <v>237</v>
      </c>
      <c r="B8" s="8" t="s">
        <v>238</v>
      </c>
      <c r="C8" s="8" t="str">
        <f aca="false">IF(AB2="","",IF(ISNA(MATCH(AB2,A:A,0)),"",IF(VLOOKUP(AB2,A:C,3,FALSE())&lt;&gt;C2,"",IF(OR(B2="Sub-task",B2="Review task"),"",IF(OR(VLOOKUP(AB2,A:B,2,FALSE())="Epic",VLOOKUP(AB2,A:B,2,FALSE())="Feature",VLOOKUP(AB2,A:B,2,FALSE())="Milestone",VLOOKUP(AB2,A:B,2,FALSE())="Phase",VLOOKUP(AB2,A:B,2,FALSE())="Risk"),"",AB2)))))</f>
        <v/>
      </c>
      <c r="D8" s="8" t="s">
        <v>239</v>
      </c>
      <c r="E8" s="8" t="s">
        <v>167</v>
      </c>
      <c r="F8" s="8" t="s">
        <v>240</v>
      </c>
    </row>
    <row r="9" customFormat="false" ht="54.75" hidden="false" customHeight="true" outlineLevel="0" collapsed="false">
      <c r="A9" s="8" t="s">
        <v>198</v>
      </c>
      <c r="B9" s="8" t="s">
        <v>241</v>
      </c>
      <c r="C9" s="8" t="s">
        <v>242</v>
      </c>
      <c r="D9" s="8" t="s">
        <v>243</v>
      </c>
      <c r="E9" s="8" t="s">
        <v>244</v>
      </c>
      <c r="F9" s="8" t="s">
        <v>245</v>
      </c>
    </row>
    <row r="10" customFormat="false" ht="54.75" hidden="false" customHeight="true" outlineLevel="0" collapsed="false">
      <c r="A10" s="8" t="s">
        <v>100</v>
      </c>
      <c r="B10" s="8" t="s">
        <v>246</v>
      </c>
      <c r="C10" s="8" t="str">
        <f aca="false">IF(AC2="","",IF(ISNA(MATCH(AC2,$A:$A,0)),"",AC2))</f>
        <v/>
      </c>
      <c r="D10" s="8" t="s">
        <v>247</v>
      </c>
      <c r="E10" s="8" t="s">
        <v>248</v>
      </c>
      <c r="F10" s="8" t="s">
        <v>249</v>
      </c>
    </row>
    <row r="11" customFormat="false" ht="54.75" hidden="false" customHeight="true" outlineLevel="0" collapsed="false">
      <c r="A11" s="8" t="s">
        <v>104</v>
      </c>
      <c r="B11" s="8" t="s">
        <v>250</v>
      </c>
      <c r="C11" s="8" t="str">
        <f aca="false">IF(AD2="","",IF(ISNA(MATCH(AD2,$A:$A,0)),"",AD2))</f>
        <v/>
      </c>
      <c r="D11" s="8" t="s">
        <v>251</v>
      </c>
      <c r="E11" s="8" t="s">
        <v>248</v>
      </c>
      <c r="F11" s="8" t="s">
        <v>252</v>
      </c>
    </row>
    <row r="12" customFormat="false" ht="54.75" hidden="false" customHeight="true" outlineLevel="0" collapsed="false">
      <c r="A12" s="8" t="s">
        <v>107</v>
      </c>
      <c r="B12" s="8" t="s">
        <v>253</v>
      </c>
      <c r="C12" s="8" t="str">
        <f aca="false">IF(AE2="","",IF(ISNA(MATCH(AE2,$A:$A,0)),"",AE2))</f>
        <v/>
      </c>
      <c r="D12" s="8" t="s">
        <v>254</v>
      </c>
      <c r="E12" s="8" t="s">
        <v>248</v>
      </c>
      <c r="F12" s="8" t="s">
        <v>255</v>
      </c>
    </row>
    <row r="13" customFormat="false" ht="54.75" hidden="false" customHeight="true" outlineLevel="0" collapsed="false">
      <c r="A13" s="8" t="s">
        <v>110</v>
      </c>
      <c r="B13" s="8" t="s">
        <v>256</v>
      </c>
      <c r="C13" s="8" t="str">
        <f aca="false">IF(AF2="","",IF(ISNA(MATCH(AF2,$A:$A,0)),"",AF2))</f>
        <v/>
      </c>
      <c r="D13" s="8" t="s">
        <v>257</v>
      </c>
      <c r="E13" s="8" t="s">
        <v>248</v>
      </c>
      <c r="F13" s="8" t="s">
        <v>258</v>
      </c>
    </row>
    <row r="14" customFormat="false" ht="54.75" hidden="false" customHeight="true" outlineLevel="0" collapsed="false">
      <c r="A14" s="8" t="s">
        <v>113</v>
      </c>
      <c r="B14" s="8" t="s">
        <v>259</v>
      </c>
      <c r="C14" s="8" t="str">
        <f aca="false">IF(AG2="","",IF(ISNA(MATCH(AG2,$A:$A,0)),"",AG2))</f>
        <v/>
      </c>
      <c r="D14" s="8" t="s">
        <v>260</v>
      </c>
      <c r="E14" s="8" t="s">
        <v>248</v>
      </c>
      <c r="F14" s="8" t="s">
        <v>261</v>
      </c>
    </row>
    <row r="15" customFormat="false" ht="54.75" hidden="false" customHeight="true" outlineLevel="0" collapsed="false">
      <c r="A15" s="8" t="s">
        <v>116</v>
      </c>
      <c r="B15" s="8" t="s">
        <v>262</v>
      </c>
      <c r="C15" s="8" t="str">
        <f aca="false">IF(AH2="","",IF(ISNA(MATCH(AH2,$A:$A,0)),"",AH2))</f>
        <v/>
      </c>
      <c r="D15" s="8" t="s">
        <v>263</v>
      </c>
      <c r="E15" s="8" t="s">
        <v>248</v>
      </c>
      <c r="F15" s="8" t="s">
        <v>264</v>
      </c>
    </row>
  </sheetData>
  <mergeCells count="3">
    <mergeCell ref="A1:E1"/>
    <mergeCell ref="A2:E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7" min="5" style="0" width="14"/>
  </cols>
  <sheetData>
    <row r="1" customFormat="false" ht="17.35" hidden="false" customHeight="false" outlineLevel="0" collapsed="false">
      <c r="A1" s="1" t="s">
        <v>265</v>
      </c>
      <c r="B1" s="1"/>
      <c r="C1" s="1"/>
      <c r="D1" s="1"/>
    </row>
    <row r="2" customFormat="false" ht="15" hidden="false" customHeight="false" outlineLevel="0" collapsed="false">
      <c r="A2" s="2" t="s">
        <v>266</v>
      </c>
      <c r="B2" s="2"/>
      <c r="C2" s="2"/>
      <c r="D2" s="2"/>
    </row>
    <row r="4" customFormat="false" ht="15" hidden="false" customHeight="false" outlineLevel="0" collapsed="false">
      <c r="A4" s="7" t="s">
        <v>267</v>
      </c>
    </row>
    <row r="5" customFormat="false" ht="26.85" hidden="false" customHeight="false" outlineLevel="0" collapsed="false">
      <c r="A5" s="3" t="s">
        <v>268</v>
      </c>
      <c r="B5" s="3" t="s">
        <v>269</v>
      </c>
      <c r="C5" s="3" t="s">
        <v>270</v>
      </c>
      <c r="D5" s="3" t="s">
        <v>271</v>
      </c>
    </row>
    <row r="6" customFormat="false" ht="23.85" hidden="false" customHeight="false" outlineLevel="0" collapsed="false">
      <c r="A6" s="8" t="s">
        <v>272</v>
      </c>
      <c r="B6" s="8" t="s">
        <v>273</v>
      </c>
      <c r="C6" s="8" t="s">
        <v>274</v>
      </c>
      <c r="D6" s="8" t="s">
        <v>275</v>
      </c>
    </row>
    <row r="7" customFormat="false" ht="23.85" hidden="false" customHeight="false" outlineLevel="0" collapsed="false">
      <c r="A7" s="11" t="s">
        <v>100</v>
      </c>
      <c r="B7" s="11" t="s">
        <v>276</v>
      </c>
      <c r="C7" s="11" t="s">
        <v>277</v>
      </c>
      <c r="D7" s="11" t="s">
        <v>278</v>
      </c>
    </row>
    <row r="8" customFormat="false" ht="15" hidden="false" customHeight="false" outlineLevel="0" collapsed="false">
      <c r="A8" s="8" t="s">
        <v>104</v>
      </c>
      <c r="B8" s="8" t="s">
        <v>276</v>
      </c>
      <c r="C8" s="8" t="s">
        <v>279</v>
      </c>
      <c r="D8" s="8" t="s">
        <v>280</v>
      </c>
    </row>
    <row r="9" customFormat="false" ht="15" hidden="false" customHeight="false" outlineLevel="0" collapsed="false">
      <c r="A9" s="8" t="s">
        <v>107</v>
      </c>
      <c r="B9" s="8" t="s">
        <v>276</v>
      </c>
      <c r="C9" s="8" t="s">
        <v>281</v>
      </c>
      <c r="D9" s="8" t="s">
        <v>282</v>
      </c>
    </row>
    <row r="10" customFormat="false" ht="23.85" hidden="false" customHeight="false" outlineLevel="0" collapsed="false">
      <c r="A10" s="8" t="s">
        <v>110</v>
      </c>
      <c r="B10" s="8" t="s">
        <v>276</v>
      </c>
      <c r="C10" s="8" t="s">
        <v>283</v>
      </c>
      <c r="D10" s="8" t="s">
        <v>284</v>
      </c>
    </row>
    <row r="11" customFormat="false" ht="23.85" hidden="false" customHeight="false" outlineLevel="0" collapsed="false">
      <c r="A11" s="11" t="s">
        <v>113</v>
      </c>
      <c r="B11" s="11" t="s">
        <v>276</v>
      </c>
      <c r="C11" s="11" t="s">
        <v>285</v>
      </c>
      <c r="D11" s="11" t="s">
        <v>286</v>
      </c>
    </row>
    <row r="12" customFormat="false" ht="23.85" hidden="false" customHeight="false" outlineLevel="0" collapsed="false">
      <c r="A12" s="11" t="s">
        <v>116</v>
      </c>
      <c r="B12" s="11" t="s">
        <v>276</v>
      </c>
      <c r="C12" s="11" t="s">
        <v>287</v>
      </c>
      <c r="D12" s="11" t="s">
        <v>288</v>
      </c>
    </row>
    <row r="15" customFormat="false" ht="15" hidden="false" customHeight="false" outlineLevel="0" collapsed="false">
      <c r="A15" s="7" t="s">
        <v>289</v>
      </c>
    </row>
    <row r="16" customFormat="false" ht="15" hidden="false" customHeight="false" outlineLevel="0" collapsed="false">
      <c r="A16" s="3" t="s">
        <v>272</v>
      </c>
      <c r="B16" s="3" t="s">
        <v>100</v>
      </c>
      <c r="C16" s="3" t="s">
        <v>104</v>
      </c>
      <c r="D16" s="3" t="s">
        <v>107</v>
      </c>
      <c r="E16" s="3" t="s">
        <v>110</v>
      </c>
      <c r="F16" s="3" t="s">
        <v>113</v>
      </c>
      <c r="G16" s="3" t="s">
        <v>116</v>
      </c>
    </row>
    <row r="17" customFormat="false" ht="15" hidden="false" customHeight="false" outlineLevel="0" collapsed="false">
      <c r="A17" s="6" t="s">
        <v>160</v>
      </c>
      <c r="B17" s="6"/>
      <c r="C17" s="6" t="s">
        <v>171</v>
      </c>
      <c r="D17" s="6"/>
      <c r="E17" s="6"/>
      <c r="F17" s="6"/>
      <c r="G17" s="6"/>
    </row>
    <row r="18" customFormat="false" ht="15" hidden="false" customHeight="false" outlineLevel="0" collapsed="false">
      <c r="A18" s="6" t="s">
        <v>163</v>
      </c>
      <c r="B18" s="6" t="s">
        <v>166</v>
      </c>
      <c r="C18" s="6"/>
      <c r="D18" s="6"/>
      <c r="E18" s="6"/>
      <c r="F18" s="6"/>
      <c r="G18" s="6"/>
    </row>
    <row r="19" customFormat="false" ht="15" hidden="false" customHeight="false" outlineLevel="0" collapsed="false">
      <c r="A19" s="6" t="s">
        <v>166</v>
      </c>
      <c r="B19" s="6"/>
      <c r="C19" s="6"/>
      <c r="D19" s="6" t="s">
        <v>169</v>
      </c>
      <c r="E19" s="6"/>
      <c r="F19" s="6"/>
      <c r="G19" s="6"/>
    </row>
    <row r="20" customFormat="false" ht="15" hidden="false" customHeight="false" outlineLevel="0" collapsed="false">
      <c r="A20" s="6" t="s">
        <v>169</v>
      </c>
      <c r="B20" s="6"/>
      <c r="C20" s="6"/>
      <c r="D20" s="6"/>
      <c r="E20" s="6" t="s">
        <v>290</v>
      </c>
      <c r="F20" s="6"/>
      <c r="G20" s="6"/>
    </row>
    <row r="21" customFormat="false" ht="15" hidden="false" customHeight="false" outlineLevel="0" collapsed="false">
      <c r="A21" s="6" t="s">
        <v>171</v>
      </c>
      <c r="B21" s="6"/>
      <c r="C21" s="6"/>
      <c r="D21" s="6"/>
      <c r="E21" s="6"/>
      <c r="F21" s="6" t="s">
        <v>160</v>
      </c>
      <c r="G21" s="6"/>
    </row>
    <row r="22" customFormat="false" ht="15" hidden="false" customHeight="false" outlineLevel="0" collapsed="false">
      <c r="A22" s="6" t="s">
        <v>290</v>
      </c>
      <c r="B22" s="6"/>
      <c r="C22" s="6"/>
      <c r="D22" s="6"/>
      <c r="E22" s="6"/>
      <c r="F22" s="6"/>
      <c r="G22" s="6" t="s">
        <v>169</v>
      </c>
    </row>
    <row r="24" customFormat="false" ht="22.35" hidden="false" customHeight="true" outlineLevel="0" collapsed="false">
      <c r="A24" s="9" t="s">
        <v>291</v>
      </c>
      <c r="B24" s="9"/>
      <c r="C24" s="9"/>
      <c r="D24" s="9"/>
      <c r="E24" s="9"/>
      <c r="F24" s="9"/>
      <c r="G24" s="9"/>
    </row>
    <row r="27" customFormat="false" ht="15" hidden="false" customHeight="false" outlineLevel="0" collapsed="false">
      <c r="A27" s="7" t="s">
        <v>292</v>
      </c>
    </row>
    <row r="28" customFormat="false" ht="15" hidden="false" customHeight="true" outlineLevel="0" collapsed="false">
      <c r="A28" s="12" t="s">
        <v>293</v>
      </c>
      <c r="B28" s="12"/>
      <c r="C28" s="12"/>
      <c r="D28" s="12"/>
      <c r="E28" s="12"/>
      <c r="F28" s="12"/>
      <c r="G28" s="12"/>
    </row>
    <row r="29" customFormat="false" ht="15" hidden="false" customHeight="true" outlineLevel="0" collapsed="false">
      <c r="A29" s="12" t="s">
        <v>294</v>
      </c>
      <c r="B29" s="12"/>
      <c r="C29" s="12"/>
      <c r="D29" s="12"/>
      <c r="E29" s="12"/>
      <c r="F29" s="12"/>
      <c r="G29" s="12"/>
    </row>
    <row r="30" customFormat="false" ht="15" hidden="false" customHeight="true" outlineLevel="0" collapsed="false">
      <c r="A30" s="12" t="s">
        <v>295</v>
      </c>
      <c r="B30" s="12"/>
      <c r="C30" s="12"/>
      <c r="D30" s="12"/>
      <c r="E30" s="12"/>
      <c r="F30" s="12"/>
      <c r="G30" s="12"/>
    </row>
    <row r="31" customFormat="false" ht="15" hidden="false" customHeight="true" outlineLevel="0" collapsed="false">
      <c r="A31" s="12" t="s">
        <v>296</v>
      </c>
      <c r="B31" s="12"/>
      <c r="C31" s="12"/>
      <c r="D31" s="12"/>
      <c r="E31" s="12"/>
      <c r="F31" s="12"/>
      <c r="G31" s="12"/>
    </row>
    <row r="32" customFormat="false" ht="15" hidden="false" customHeight="true" outlineLevel="0" collapsed="false">
      <c r="A32" s="12" t="s">
        <v>297</v>
      </c>
      <c r="B32" s="12"/>
      <c r="C32" s="12"/>
      <c r="D32" s="12"/>
      <c r="E32" s="12"/>
      <c r="F32" s="12"/>
      <c r="G32" s="12"/>
    </row>
    <row r="33" customFormat="false" ht="15" hidden="false" customHeight="true" outlineLevel="0" collapsed="false">
      <c r="A33" s="12" t="s">
        <v>298</v>
      </c>
      <c r="B33" s="12"/>
      <c r="C33" s="12"/>
      <c r="D33" s="12"/>
      <c r="E33" s="12"/>
      <c r="F33" s="12"/>
      <c r="G33" s="12"/>
    </row>
  </sheetData>
  <mergeCells count="9">
    <mergeCell ref="A1:D1"/>
    <mergeCell ref="A2:D2"/>
    <mergeCell ref="A24:G24"/>
    <mergeCell ref="A28:G28"/>
    <mergeCell ref="A29:G29"/>
    <mergeCell ref="A30:G30"/>
    <mergeCell ref="A31:G31"/>
    <mergeCell ref="A32:G32"/>
    <mergeCell ref="A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2026-09-16T19:40:51Z</dcterms:created>
  <dc:creator>openpyxl</dc:creator>
  <dc:description/>
  <dc:language>en-US</dc:language>
  <cp:lastModifiedBy/>
  <dcterms:modified xsi:type="dcterms:W3CDTF">2026-09-16T19:41:03Z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