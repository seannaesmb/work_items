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Mapping" sheetId="1" state="visible" r:id="rId1"/>
    <sheet xmlns:r="http://schemas.openxmlformats.org/officeDocument/2006/relationships" name="Lookup Tables" sheetId="2" state="visible" r:id="rId2"/>
    <sheet xmlns:r="http://schemas.openxmlformats.org/officeDocument/2006/relationships" name="Import Passes" sheetId="3" state="visible" r:id="rId3"/>
    <sheet xmlns:r="http://schemas.openxmlformats.org/officeDocument/2006/relationships" name="Derived Colum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22" customWidth="1" min="3" max="3"/>
    <col width="55" customWidth="1" min="4" max="4"/>
  </cols>
  <sheetData>
    <row r="1">
      <c r="A1" s="1" t="inlineStr">
        <is>
          <t>Jira Import Field Mapping — OpenProject → Jira Data Center</t>
        </is>
      </c>
    </row>
    <row r="2">
      <c r="A2" s="2" t="inlineStr">
        <is>
          <t>Fill in / confirm mappings before running the CSV import. Legend: green = direct/lookup map, yellow = decision needed, gray = drop.</t>
        </is>
      </c>
    </row>
    <row r="4">
      <c r="A4" s="3" t="inlineStr">
        <is>
          <t>Source Column (OpenProject)</t>
        </is>
      </c>
      <c r="B4" s="3" t="inlineStr">
        <is>
          <t>Target in Jira</t>
        </is>
      </c>
      <c r="C4" s="3" t="inlineStr">
        <is>
          <t>Action</t>
        </is>
      </c>
      <c r="D4" s="3" t="inlineStr">
        <is>
          <t>Notes / Requirements</t>
        </is>
      </c>
    </row>
    <row r="5">
      <c r="A5" s="4" t="inlineStr">
        <is>
          <t>id</t>
        </is>
      </c>
      <c r="B5" s="4" t="inlineStr">
        <is>
          <t>op-ticket-legacy (custom field 10501) or separate raw ID field</t>
        </is>
      </c>
      <c r="C5" s="4" t="inlineStr">
        <is>
          <t>Map</t>
        </is>
      </c>
      <c r="D5" s="4" t="inlineStr">
        <is>
          <t>Traceability anchor back to OpenProject</t>
        </is>
      </c>
    </row>
    <row r="6">
      <c r="A6" s="4" t="inlineStr">
        <is>
          <t>op-ticket-legacy</t>
        </is>
      </c>
      <c r="B6" s="4" t="inlineStr">
        <is>
          <t>Custom field 10501</t>
        </is>
      </c>
      <c r="C6" s="4" t="inlineStr">
        <is>
          <t>Reuse existing field</t>
        </is>
      </c>
      <c r="D6" s="4" t="inlineStr">
        <is>
          <t>Already exists from prior schema — do not recreate</t>
        </is>
      </c>
    </row>
    <row r="7">
      <c r="A7" s="4" t="inlineStr">
        <is>
          <t>type</t>
        </is>
      </c>
      <c r="B7" s="4" t="inlineStr">
        <is>
          <t>Issue Type</t>
        </is>
      </c>
      <c r="C7" s="4" t="inlineStr">
        <is>
          <t>Map via lookup table</t>
        </is>
      </c>
      <c r="D7" s="4" t="inlineStr">
        <is>
          <t>Apply 24→6 issue type rationalization before import</t>
        </is>
      </c>
    </row>
    <row r="8">
      <c r="A8" s="4" t="inlineStr">
        <is>
          <t>project</t>
        </is>
      </c>
      <c r="B8" s="4" t="inlineStr">
        <is>
          <t>Project</t>
        </is>
      </c>
      <c r="C8" s="4" t="inlineStr">
        <is>
          <t>Map</t>
        </is>
      </c>
      <c r="D8" s="4" t="inlineStr">
        <is>
          <t>Must match an existing Jira project key exactly</t>
        </is>
      </c>
    </row>
    <row r="9">
      <c r="A9" s="4" t="inlineStr">
        <is>
          <t>subject</t>
        </is>
      </c>
      <c r="B9" s="4" t="inlineStr">
        <is>
          <t>Summary</t>
        </is>
      </c>
      <c r="C9" s="4" t="inlineStr">
        <is>
          <t>Direct map</t>
        </is>
      </c>
      <c r="D9" s="4" t="inlineStr"/>
    </row>
    <row r="10">
      <c r="A10" s="4" t="inlineStr">
        <is>
          <t>description</t>
        </is>
      </c>
      <c r="B10" s="4" t="inlineStr">
        <is>
          <t>Description</t>
        </is>
      </c>
      <c r="C10" s="4" t="inlineStr">
        <is>
          <t>Convert</t>
        </is>
      </c>
      <c r="D10" s="4" t="inlineStr">
        <is>
          <t>Textile/Markdown → Jira wiki markup; {warning} macro doesn't exist in DC, use {color:red}</t>
        </is>
      </c>
    </row>
    <row r="11">
      <c r="A11" s="4" t="inlineStr">
        <is>
          <t>due</t>
        </is>
      </c>
      <c r="B11" s="4" t="inlineStr">
        <is>
          <t>Due Date</t>
        </is>
      </c>
      <c r="C11" s="4" t="inlineStr">
        <is>
          <t>Direct map</t>
        </is>
      </c>
      <c r="D11" s="4" t="inlineStr">
        <is>
          <t>Format dd/MMM/yy unless custom date pattern set in import config</t>
        </is>
      </c>
    </row>
    <row r="12">
      <c r="A12" s="4" t="inlineStr">
        <is>
          <t>category</t>
        </is>
      </c>
      <c r="B12" s="4" t="inlineStr">
        <is>
          <t>Component (or custom field)</t>
        </is>
      </c>
      <c r="C12" s="4" t="inlineStr">
        <is>
          <t>Map</t>
        </is>
      </c>
      <c r="D12" s="4" t="inlineStr">
        <is>
          <t>Confirm categories map cleanly to components first</t>
        </is>
      </c>
    </row>
    <row r="13">
      <c r="A13" s="4" t="inlineStr">
        <is>
          <t>status</t>
        </is>
      </c>
      <c r="B13" s="4" t="inlineStr">
        <is>
          <t>Status</t>
        </is>
      </c>
      <c r="C13" s="4" t="inlineStr">
        <is>
          <t>Map via lookup table</t>
        </is>
      </c>
      <c r="D13" s="4" t="inlineStr">
        <is>
          <t>Needs explicit value-mapping to your Jira workflow's status names</t>
        </is>
      </c>
    </row>
    <row r="14">
      <c r="A14" s="4" t="inlineStr">
        <is>
          <t>assigned</t>
        </is>
      </c>
      <c r="B14" s="4" t="inlineStr">
        <is>
          <t>Assignee</t>
        </is>
      </c>
      <c r="C14" s="4" t="inlineStr">
        <is>
          <t>Map via user table</t>
        </is>
      </c>
      <c r="D14" s="4" t="inlineStr">
        <is>
          <t>Import matches by username/email, not display name</t>
        </is>
      </c>
    </row>
    <row r="15">
      <c r="A15" s="4" t="inlineStr">
        <is>
          <t>priority</t>
        </is>
      </c>
      <c r="B15" s="4" t="inlineStr">
        <is>
          <t>Priority</t>
        </is>
      </c>
      <c r="C15" s="4" t="inlineStr">
        <is>
          <t>Map via lookup table</t>
        </is>
      </c>
      <c r="D15" s="4" t="inlineStr">
        <is>
          <t>OpenProject priorities rarely line up 1:1 with Jira's</t>
        </is>
      </c>
    </row>
    <row r="16">
      <c r="A16" s="4" t="inlineStr">
        <is>
          <t>version</t>
        </is>
      </c>
      <c r="B16" s="4" t="inlineStr">
        <is>
          <t>Fix Version</t>
        </is>
      </c>
      <c r="C16" s="4" t="inlineStr">
        <is>
          <t>Direct map</t>
        </is>
      </c>
      <c r="D16" s="4" t="inlineStr"/>
    </row>
    <row r="17">
      <c r="A17" s="4" t="inlineStr">
        <is>
          <t>author</t>
        </is>
      </c>
      <c r="B17" s="4" t="inlineStr">
        <is>
          <t>Reporter</t>
        </is>
      </c>
      <c r="C17" s="4" t="inlineStr">
        <is>
          <t>Map via user table</t>
        </is>
      </c>
      <c r="D17" s="4" t="inlineStr">
        <is>
          <t>Same user-mapping requirement as assignee</t>
        </is>
      </c>
    </row>
    <row r="18">
      <c r="A18" s="5" t="inlineStr">
        <is>
          <t>lock</t>
        </is>
      </c>
      <c r="B18" s="5" t="inlineStr">
        <is>
          <t>Skip, or custom 'Locked' flag</t>
        </is>
      </c>
      <c r="C18" s="5" t="inlineStr">
        <is>
          <t>Decide</t>
        </is>
      </c>
      <c r="D18" s="5" t="inlineStr">
        <is>
          <t>Confirm it's not a stale OpenProject workflow artifact before using a field slot</t>
        </is>
      </c>
    </row>
    <row r="19">
      <c r="A19" s="5" t="inlineStr">
        <is>
          <t>done</t>
        </is>
      </c>
      <c r="B19" s="5" t="inlineStr">
        <is>
          <t>Resolution or % Done custom field</t>
        </is>
      </c>
      <c r="C19" s="5" t="inlineStr">
        <is>
          <t>Decide</t>
        </is>
      </c>
      <c r="D19" s="5" t="inlineStr">
        <is>
          <t>These are semantically different in Jira — pick one deliberately</t>
        </is>
      </c>
    </row>
    <row r="20">
      <c r="A20" s="4" t="inlineStr">
        <is>
          <t>estimated</t>
        </is>
      </c>
      <c r="B20" s="4" t="inlineStr">
        <is>
          <t>Original Estimate</t>
        </is>
      </c>
      <c r="C20" s="4" t="inlineStr">
        <is>
          <t>Convert units</t>
        </is>
      </c>
      <c r="D20" s="4" t="inlineStr">
        <is>
          <t>OpenProject stores decimal hours; Jira wants Xh Ym or seconds depending on importer version</t>
        </is>
      </c>
    </row>
    <row r="21">
      <c r="A21" s="4" t="inlineStr">
        <is>
          <t>created</t>
        </is>
      </c>
      <c r="B21" s="4" t="inlineStr">
        <is>
          <t>Created</t>
        </is>
      </c>
      <c r="C21" s="4" t="inlineStr">
        <is>
          <t>Post-import / admin option</t>
        </is>
      </c>
      <c r="D21" s="4" t="inlineStr">
        <is>
          <t>Not directly settable via standard CSV importer unless 'allow admin to set dates' is enabled</t>
        </is>
      </c>
    </row>
    <row r="22">
      <c r="A22" s="4" t="inlineStr">
        <is>
          <t>updated</t>
        </is>
      </c>
      <c r="B22" s="4" t="inlineStr">
        <is>
          <t>Updated</t>
        </is>
      </c>
      <c r="C22" s="4" t="inlineStr">
        <is>
          <t>Post-import / admin option</t>
        </is>
      </c>
      <c r="D22" s="4" t="inlineStr">
        <is>
          <t>Same caveat as created</t>
        </is>
      </c>
    </row>
    <row r="23">
      <c r="A23" s="4" t="inlineStr">
        <is>
          <t>start</t>
        </is>
      </c>
      <c r="B23" s="4" t="inlineStr">
        <is>
          <t>Start Date (custom field)</t>
        </is>
      </c>
      <c r="C23" s="4" t="inlineStr">
        <is>
          <t>Direct map</t>
        </is>
      </c>
      <c r="D23" s="4" t="inlineStr"/>
    </row>
    <row r="24">
      <c r="A24" s="5" t="inlineStr">
        <is>
          <t>responsible</t>
        </is>
      </c>
      <c r="B24" s="5" t="inlineStr">
        <is>
          <t>Separate custom field (if distinct from Assignee)</t>
        </is>
      </c>
      <c r="C24" s="5" t="inlineStr">
        <is>
          <t>Decide</t>
        </is>
      </c>
      <c r="D24" s="5" t="inlineStr">
        <is>
          <t>OpenProject has both Assignee and Responsible — don't collapse unless confirmed interchangeable</t>
        </is>
      </c>
    </row>
    <row r="25">
      <c r="A25" s="5" t="inlineStr">
        <is>
          <t>budget</t>
        </is>
      </c>
      <c r="B25" s="5" t="inlineStr">
        <is>
          <t>Custom field, or drop</t>
        </is>
      </c>
      <c r="C25" s="5" t="inlineStr">
        <is>
          <t>Decide</t>
        </is>
      </c>
      <c r="D25" s="5" t="inlineStr">
        <is>
          <t>Drop if not tracked downstream</t>
        </is>
      </c>
    </row>
    <row r="26">
      <c r="A26" s="6" t="inlineStr">
        <is>
          <t>position</t>
        </is>
      </c>
      <c r="B26" s="6" t="inlineStr">
        <is>
          <t>Drop</t>
        </is>
      </c>
      <c r="C26" s="6" t="inlineStr">
        <is>
          <t>Drop</t>
        </is>
      </c>
      <c r="D26" s="6" t="inlineStr">
        <is>
          <t>OpenProject's internal sort order — no Jira equivalent worth preserving</t>
        </is>
      </c>
    </row>
    <row r="27">
      <c r="A27" s="4" t="inlineStr">
        <is>
          <t>story</t>
        </is>
      </c>
      <c r="B27" s="4" t="inlineStr">
        <is>
          <t>Story Points</t>
        </is>
      </c>
      <c r="C27" s="4" t="inlineStr">
        <is>
          <t>Direct map</t>
        </is>
      </c>
      <c r="D27" s="4" t="inlineStr"/>
    </row>
    <row r="28">
      <c r="A28" s="4" t="inlineStr">
        <is>
          <t>remaining</t>
        </is>
      </c>
      <c r="B28" s="4" t="inlineStr">
        <is>
          <t>Remaining Estimate</t>
        </is>
      </c>
      <c r="C28" s="4" t="inlineStr">
        <is>
          <t>Convert units</t>
        </is>
      </c>
      <c r="D28" s="4" t="inlineStr">
        <is>
          <t>Same unit-conversion caveat as estimated</t>
        </is>
      </c>
    </row>
    <row r="29">
      <c r="A29" s="6" t="inlineStr">
        <is>
          <t>derived</t>
        </is>
      </c>
      <c r="B29" s="6" t="inlineStr">
        <is>
          <t>Drop</t>
        </is>
      </c>
      <c r="C29" s="6" t="inlineStr">
        <is>
          <t>Drop</t>
        </is>
      </c>
      <c r="D29" s="6" t="inlineStr">
        <is>
          <t>OpenProject-calculated field (derived start/due from children)</t>
        </is>
      </c>
    </row>
    <row r="30">
      <c r="A30" s="6" t="inlineStr">
        <is>
          <t>schedule</t>
        </is>
      </c>
      <c r="B30" s="6" t="inlineStr">
        <is>
          <t>Drop</t>
        </is>
      </c>
      <c r="C30" s="6" t="inlineStr">
        <is>
          <t>Drop</t>
        </is>
      </c>
      <c r="D30" s="6" t="inlineStr">
        <is>
          <t>OpenProject scheduling-mode flag — no Jira equivalent</t>
        </is>
      </c>
    </row>
    <row r="31">
      <c r="A31" s="6" t="inlineStr">
        <is>
          <t>hibernate</t>
        </is>
      </c>
      <c r="B31" s="6" t="inlineStr">
        <is>
          <t>Drop</t>
        </is>
      </c>
      <c r="C31" s="6" t="inlineStr">
        <is>
          <t>Drop</t>
        </is>
      </c>
      <c r="D31" s="6" t="inlineStr">
        <is>
          <t>Hibernate ORM/ActiveRecord internal artifact from raw DB export, not a user field</t>
        </is>
      </c>
    </row>
    <row r="32">
      <c r="A32" s="4" t="inlineStr">
        <is>
          <t>parent</t>
        </is>
      </c>
      <c r="B32" s="4" t="inlineStr">
        <is>
          <t>See Derived Columns tab</t>
        </is>
      </c>
      <c r="C32" s="4" t="inlineStr">
        <is>
          <t>Map via derived columns</t>
        </is>
      </c>
      <c r="D32" s="4" t="inlineStr">
        <is>
          <t>Resolved into parent_initiative / parent_epic / parent_subtask / parent_same_link / 'is the Child of' — see Derived Columns tab</t>
        </is>
      </c>
    </row>
    <row r="33">
      <c r="A33" s="4" t="inlineStr">
        <is>
          <t>blocks (OpenProject relation)</t>
        </is>
      </c>
      <c r="B33" s="4" t="inlineStr">
        <is>
          <t>Issue Link — Blocks</t>
        </is>
      </c>
      <c r="C33" s="4" t="inlineStr">
        <is>
          <t>Map via derived column</t>
        </is>
      </c>
      <c r="D33" s="4" t="inlineStr">
        <is>
          <t>See Derived Columns tab ('blocks'). Requires BOTH sides of the link to already have Jira keys — Pass 5 only</t>
        </is>
      </c>
    </row>
    <row r="34">
      <c r="A34" s="4" t="inlineStr">
        <is>
          <t>follows (OpenProject relation)</t>
        </is>
      </c>
      <c r="B34" s="4" t="inlineStr">
        <is>
          <t>Issue Link — Follows/Precedes</t>
        </is>
      </c>
      <c r="C34" s="4" t="inlineStr">
        <is>
          <t>Map via derived column</t>
        </is>
      </c>
      <c r="D34" s="4" t="inlineStr">
        <is>
          <t>See Derived Columns tab ('follows'). Same key-dependency as blocks — Pass 5 only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46" customWidth="1" min="3" max="3"/>
  </cols>
  <sheetData>
    <row r="1">
      <c r="A1" s="1" t="inlineStr">
        <is>
          <t>Value-Mapping Lookup Tables</t>
        </is>
      </c>
    </row>
    <row r="2">
      <c r="A2" s="2" t="inlineStr">
        <is>
          <t>Fill in each table before the relevant pass. These are the most common source of a failed or half-broken import.</t>
        </is>
      </c>
    </row>
    <row r="4">
      <c r="A4" s="7" t="inlineStr">
        <is>
          <t>Issue Type Map (24 → 6)</t>
        </is>
      </c>
    </row>
    <row r="5">
      <c r="A5" s="3" t="inlineStr">
        <is>
          <t>OpenProject Type</t>
        </is>
      </c>
      <c r="B5" s="3" t="inlineStr">
        <is>
          <t>Jira Issue Type</t>
        </is>
      </c>
    </row>
    <row r="6">
      <c r="A6" s="8" t="inlineStr"/>
      <c r="B6" s="8" t="inlineStr"/>
    </row>
    <row r="7">
      <c r="A7" s="8" t="inlineStr"/>
      <c r="B7" s="8" t="inlineStr"/>
    </row>
    <row r="8">
      <c r="A8" s="8" t="inlineStr"/>
      <c r="B8" s="8" t="inlineStr"/>
    </row>
    <row r="9">
      <c r="A9" s="8" t="inlineStr"/>
      <c r="B9" s="8" t="inlineStr"/>
    </row>
    <row r="10">
      <c r="A10" s="8" t="inlineStr"/>
      <c r="B10" s="8" t="inlineStr"/>
    </row>
    <row r="11">
      <c r="A11" s="8" t="inlineStr"/>
      <c r="B11" s="8" t="inlineStr"/>
    </row>
    <row r="12">
      <c r="A12" s="8" t="inlineStr"/>
      <c r="B12" s="8" t="inlineStr"/>
    </row>
    <row r="13">
      <c r="A13" s="8" t="inlineStr"/>
      <c r="B13" s="8" t="inlineStr"/>
    </row>
    <row r="16">
      <c r="A16" s="7" t="inlineStr">
        <is>
          <t>Status Map</t>
        </is>
      </c>
    </row>
    <row r="17">
      <c r="A17" s="3" t="inlineStr">
        <is>
          <t>OpenProject Status</t>
        </is>
      </c>
      <c r="B17" s="3" t="inlineStr">
        <is>
          <t>Jira Status</t>
        </is>
      </c>
    </row>
    <row r="18">
      <c r="A18" s="8" t="inlineStr"/>
      <c r="B18" s="8" t="inlineStr"/>
    </row>
    <row r="19">
      <c r="A19" s="8" t="inlineStr"/>
      <c r="B19" s="8" t="inlineStr"/>
    </row>
    <row r="20">
      <c r="A20" s="8" t="inlineStr"/>
      <c r="B20" s="8" t="inlineStr"/>
    </row>
    <row r="21">
      <c r="A21" s="8" t="inlineStr"/>
      <c r="B21" s="8" t="inlineStr"/>
    </row>
    <row r="22">
      <c r="A22" s="8" t="inlineStr"/>
      <c r="B22" s="8" t="inlineStr"/>
    </row>
    <row r="25">
      <c r="A25" s="7" t="inlineStr">
        <is>
          <t>Priority Map</t>
        </is>
      </c>
    </row>
    <row r="26">
      <c r="A26" s="3" t="inlineStr">
        <is>
          <t>OpenProject Priority</t>
        </is>
      </c>
      <c r="B26" s="3" t="inlineStr">
        <is>
          <t>Jira Priority</t>
        </is>
      </c>
    </row>
    <row r="27">
      <c r="A27" s="8" t="inlineStr"/>
      <c r="B27" s="8" t="inlineStr"/>
    </row>
    <row r="28">
      <c r="A28" s="8" t="inlineStr"/>
      <c r="B28" s="8" t="inlineStr"/>
    </row>
    <row r="29">
      <c r="A29" s="8" t="inlineStr"/>
      <c r="B29" s="8" t="inlineStr"/>
    </row>
    <row r="30">
      <c r="A30" s="8" t="inlineStr"/>
      <c r="B30" s="8" t="inlineStr"/>
    </row>
    <row r="33">
      <c r="A33" s="7" t="inlineStr">
        <is>
          <t>User Map (Assignee / Author / Responsible)</t>
        </is>
      </c>
    </row>
    <row r="34">
      <c r="A34" s="3" t="inlineStr">
        <is>
          <t>OpenProject Username</t>
        </is>
      </c>
      <c r="B34" s="3" t="inlineStr">
        <is>
          <t>Jira Username or Email</t>
        </is>
      </c>
    </row>
    <row r="35">
      <c r="A35" s="8" t="inlineStr"/>
      <c r="B35" s="8" t="inlineStr"/>
    </row>
    <row r="36">
      <c r="A36" s="8" t="inlineStr"/>
      <c r="B36" s="8" t="inlineStr"/>
    </row>
    <row r="37">
      <c r="A37" s="8" t="inlineStr"/>
      <c r="B37" s="8" t="inlineStr"/>
    </row>
    <row r="38">
      <c r="A38" s="8" t="inlineStr"/>
      <c r="B38" s="8" t="inlineStr"/>
    </row>
    <row r="39">
      <c r="A39" s="8" t="inlineStr"/>
      <c r="B39" s="8" t="inlineStr"/>
    </row>
    <row r="42">
      <c r="A42" s="7" t="inlineStr">
        <is>
          <t>Parent / Hierarchy Link Types</t>
        </is>
      </c>
    </row>
    <row r="43">
      <c r="A43" s="3" t="inlineStr">
        <is>
          <t>Relationship</t>
        </is>
      </c>
      <c r="B43" s="3" t="inlineStr">
        <is>
          <t>Jira Link Type ID</t>
        </is>
      </c>
      <c r="C43" s="3" t="inlineStr">
        <is>
          <t>Direction</t>
        </is>
      </c>
    </row>
    <row r="44">
      <c r="A44" s="8" t="inlineStr">
        <is>
          <t>Child-Parent</t>
        </is>
      </c>
      <c r="B44" s="8" t="inlineStr">
        <is>
          <t>10532</t>
        </is>
      </c>
      <c r="C44" s="8" t="inlineStr">
        <is>
          <t>inward: is parent of / outward: is a child of</t>
        </is>
      </c>
    </row>
    <row r="45">
      <c r="A45" s="8" t="inlineStr">
        <is>
          <t>Parent-Child</t>
        </is>
      </c>
      <c r="B45" s="8" t="inlineStr">
        <is>
          <t>10555</t>
        </is>
      </c>
      <c r="C45" s="8" t="inlineStr">
        <is>
          <t>inward: is the Child of / outward: is the Parent of</t>
        </is>
      </c>
    </row>
    <row r="46">
      <c r="A46" s="8" t="inlineStr">
        <is>
          <t>Selected for parent_same_link / 'is the Child of' →</t>
        </is>
      </c>
      <c r="B46" s="8" t="inlineStr"/>
      <c r="C46" s="8" t="inlineStr"/>
    </row>
    <row r="49">
      <c r="A49" s="7" t="inlineStr">
        <is>
          <t>Blocks / Follows Link Types (NEW — confirm IDs in your instance)</t>
        </is>
      </c>
    </row>
    <row r="50">
      <c r="A50" s="3" t="inlineStr">
        <is>
          <t>Relationship</t>
        </is>
      </c>
      <c r="B50" s="3" t="inlineStr">
        <is>
          <t>Jira Link Type ID</t>
        </is>
      </c>
      <c r="C50" s="3" t="inlineStr">
        <is>
          <t>Direction</t>
        </is>
      </c>
    </row>
    <row r="51">
      <c r="A51" s="8" t="inlineStr">
        <is>
          <t>Blocks</t>
        </is>
      </c>
      <c r="B51" s="8" t="inlineStr"/>
      <c r="C51" s="8" t="inlineStr">
        <is>
          <t>outward: blocks / inward: is blocked by (Jira system default — confirm ID via Issue Linking admin screen)</t>
        </is>
      </c>
    </row>
    <row r="52">
      <c r="A52" s="8" t="inlineStr">
        <is>
          <t>Follows / Precedes</t>
        </is>
      </c>
      <c r="B52" s="8" t="inlineStr"/>
      <c r="C52" s="8" t="inlineStr">
        <is>
          <t>outward: follows / inward: precedes (custom link type in most instances — confirm it exists before Pass 5, create it if not)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0" customWidth="1" min="4" max="4"/>
    <col width="30" customWidth="1" min="5" max="5"/>
    <col width="40" customWidth="1" min="6" max="6"/>
  </cols>
  <sheetData>
    <row r="1">
      <c r="A1" s="1" t="inlineStr">
        <is>
          <t>Streamlined Import Pass Sequence</t>
        </is>
      </c>
    </row>
    <row r="2">
      <c r="A2" s="2" t="inlineStr">
        <is>
          <t>Pass 5 (Blocks / Follows) is new — inserted after all hierarchy passes, before attachments, because these links can target ANY issue type including subtasks, so both sides must already have real Jira keys.</t>
        </is>
      </c>
    </row>
    <row r="4">
      <c r="A4" s="3" t="inlineStr">
        <is>
          <t>Pass</t>
        </is>
      </c>
      <c r="B4" s="3" t="inlineStr">
        <is>
          <t>Types included</t>
        </is>
      </c>
      <c r="C4" s="3" t="inlineStr">
        <is>
          <t>Parent column(s) mapped this pass</t>
        </is>
      </c>
      <c r="D4" s="3" t="inlineStr">
        <is>
          <t>Parent column(s) left unmapped/ignored this pass</t>
        </is>
      </c>
      <c r="E4" s="3" t="inlineStr">
        <is>
          <t>Prerequisite</t>
        </is>
      </c>
      <c r="F4" s="3" t="inlineStr">
        <is>
          <t>Action / notes</t>
        </is>
      </c>
    </row>
    <row r="5">
      <c r="A5" s="5" t="inlineStr">
        <is>
          <t>Pass 0</t>
        </is>
      </c>
      <c r="B5" s="5" t="inlineStr">
        <is>
          <t>Milestone
Phase
Risk</t>
        </is>
      </c>
      <c r="C5" s="5" t="inlineStr">
        <is>
          <t>None</t>
        </is>
      </c>
      <c r="D5" s="5" t="inlineStr">
        <is>
          <t>All parent columns (none apply — top of hierarchy)</t>
        </is>
      </c>
      <c r="E5" s="5" t="inlineStr">
        <is>
          <t>None — first import</t>
        </is>
      </c>
      <c r="F5" s="5" t="inlineStr">
        <is>
          <t>Export from Jira: Key + op-ticket-legacy → build OP ID→Jira key map</t>
        </is>
      </c>
    </row>
    <row r="6">
      <c r="A6" s="4" t="inlineStr">
        <is>
          <t>Pass 1</t>
        </is>
      </c>
      <c r="B6" s="4" t="inlineStr">
        <is>
          <t>Epic
Feature</t>
        </is>
      </c>
      <c r="C6" s="4" t="inlineStr">
        <is>
          <t>parent_initiative
(Step 2 — Jira key)</t>
        </is>
      </c>
      <c r="D6" s="4" t="inlineStr">
        <is>
          <t>parent_epic
parent_subtask
parent_same_link
is the Child of</t>
        </is>
      </c>
      <c r="E6" s="4" t="inlineStr">
        <is>
          <t>Pass 0 complete
OP ID→Jira key map ready</t>
        </is>
      </c>
      <c r="F6" s="4" t="inlineStr">
        <is>
          <t>Export from Jira: Key + op-ticket-legacy → update mapping file</t>
        </is>
      </c>
    </row>
    <row r="7">
      <c r="A7" s="9" t="inlineStr">
        <is>
          <t>Pass 2</t>
        </is>
      </c>
      <c r="B7" s="9" t="inlineStr">
        <is>
          <t>Story
Task
Bug
Improvement
New feature
Requirement
User story
+ same-project rows</t>
        </is>
      </c>
      <c r="C7" s="9" t="inlineStr">
        <is>
          <t>parent_epic
parent_same_link</t>
        </is>
      </c>
      <c r="D7" s="9" t="inlineStr">
        <is>
          <t>parent_initiative
parent_subtask
is the Child of</t>
        </is>
      </c>
      <c r="E7" s="9" t="inlineStr">
        <is>
          <t>Pass 1 complete
Epic names exist in Jira</t>
        </is>
      </c>
      <c r="F7" s="9" t="inlineStr">
        <is>
          <t>Verify Epic links resolved on import log</t>
        </is>
      </c>
    </row>
    <row r="8">
      <c r="A8" s="9" t="inlineStr">
        <is>
          <t>Pass 3</t>
        </is>
      </c>
      <c r="B8" s="9" t="inlineStr">
        <is>
          <t>Any type where 'is the Child of' col is non-blank</t>
        </is>
      </c>
      <c r="C8" s="9" t="inlineStr">
        <is>
          <t>is the Child of</t>
        </is>
      </c>
      <c r="D8" s="9" t="inlineStr">
        <is>
          <t>parent_initiative
parent_epic
parent_subtask
parent_same_link</t>
        </is>
      </c>
      <c r="E8" s="9" t="inlineStr">
        <is>
          <t>Pass 0 + 1 + 2 complete
(both sides of link must exist)</t>
        </is>
      </c>
      <c r="F8" s="9" t="inlineStr">
        <is>
          <t>Check import log for unresolved links</t>
        </is>
      </c>
    </row>
    <row r="9">
      <c r="A9" s="4" t="inlineStr">
        <is>
          <t>Pass 4</t>
        </is>
      </c>
      <c r="B9" s="4" t="inlineStr">
        <is>
          <t>Sub-task
Review task</t>
        </is>
      </c>
      <c r="C9" s="4" t="inlineStr">
        <is>
          <t>parent_subtask
is the Child of (cross-project only)</t>
        </is>
      </c>
      <c r="D9" s="4" t="inlineStr">
        <is>
          <t>parent_initiative
parent_epic
parent_same_link</t>
        </is>
      </c>
      <c r="E9" s="4" t="inlineStr">
        <is>
          <t>Pass 2 complete
All parents exist in Jira</t>
        </is>
      </c>
      <c r="F9" s="4" t="inlineStr">
        <is>
          <t>Verify subtask-parent-id resolved on import log</t>
        </is>
      </c>
    </row>
    <row r="10">
      <c r="A10" s="10" t="inlineStr">
        <is>
          <t>Pass 5 (NEW)</t>
        </is>
      </c>
      <c r="B10" s="10" t="inlineStr">
        <is>
          <t>Any type with blocks/follows relation populated</t>
        </is>
      </c>
      <c r="C10" s="10" t="inlineStr">
        <is>
          <t>blocks
follows</t>
        </is>
      </c>
      <c r="D10" s="10" t="inlineStr">
        <is>
          <t>all hierarchy parent columns (n/a — different link category)</t>
        </is>
      </c>
      <c r="E10" s="10" t="inlineStr">
        <is>
          <t>Pass 0-4 complete
ALL rows have real Jira keys, since blocks/follows can target any level incl. subtasks</t>
        </is>
      </c>
      <c r="F10" s="10" t="inlineStr">
        <is>
          <t>Confirm Blocks/Follows link type IDs in Lookup Tables tab before running. Check import log for unresolved links (source or target key missing = row skipped, not soft-failed)</t>
        </is>
      </c>
    </row>
    <row r="11">
      <c r="A11" s="6" t="inlineStr">
        <is>
          <t>Pass 6</t>
        </is>
      </c>
      <c r="B11" s="6" t="inlineStr">
        <is>
          <t>Rows with AttachmentPath non-blank</t>
        </is>
      </c>
      <c r="C11" s="6" t="inlineStr">
        <is>
          <t>— run jira_attach.py —</t>
        </is>
      </c>
      <c r="D11" s="6" t="inlineStr">
        <is>
          <t>N/A</t>
        </is>
      </c>
      <c r="E11" s="6" t="inlineStr">
        <is>
          <t>All passes complete
All Jira keys exist</t>
        </is>
      </c>
      <c r="F11" s="6" t="inlineStr">
        <is>
          <t>Review jira_attach_report.csv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58" customWidth="1" min="3" max="3"/>
    <col width="40" customWidth="1" min="4" max="4"/>
    <col width="22" customWidth="1" min="5" max="5"/>
  </cols>
  <sheetData>
    <row r="1">
      <c r="A1" s="1" t="inlineStr">
        <is>
          <t>Derived Parent / Link Columns — Formulas &amp; Logic</t>
        </is>
      </c>
    </row>
    <row r="2">
      <c r="A2" s="2" t="inlineStr">
        <is>
          <t>All formulas assume: column A = Issue ID, column B = Type, column C = Project, column AB = raw 'parent' reference from source export. New columns AC/AD hold raw blocks/follows references.</t>
        </is>
      </c>
    </row>
    <row r="4">
      <c r="A4" s="3" t="inlineStr">
        <is>
          <t>Column name</t>
        </is>
      </c>
      <c r="B4" s="3" t="inlineStr">
        <is>
          <t>Fires when (plain English)</t>
        </is>
      </c>
      <c r="C4" s="3" t="inlineStr">
        <is>
          <t>Formula (row 2 example)</t>
        </is>
      </c>
      <c r="D4" s="3" t="inlineStr">
        <is>
          <t>Resolves to</t>
        </is>
      </c>
      <c r="E4" s="3" t="inlineStr">
        <is>
          <t>Used in Pass</t>
        </is>
      </c>
    </row>
    <row r="5" ht="60" customHeight="1">
      <c r="A5" s="8" t="inlineStr">
        <is>
          <t>parent_initiative</t>
        </is>
      </c>
      <c r="B5" s="8" t="inlineStr">
        <is>
          <t>Parent exists, same project, current row isn't Sub-task/Review task, AND parent's type is Milestone/Phase/Risk (i.e. parent is a top-level hierarchy item)</t>
        </is>
      </c>
      <c r="C5" s="8">
        <f>IF(AB2="","",IF(ISNA(MATCH(AB2,$A:$A,0)),"",IF(VLOOKUP(AB2,$A:$C,3,FALSE)&lt;&gt;C2,"",IF(OR(B2="Sub-task",B2="Review task"),"",IF(OR(VLOOKUP(AB2,$A:$B,2,FALSE)="Milestone",VLOOKUP(AB2,$A:$B,2,FALSE)="Phase",VLOOKUP(AB2,$A:$B,2,FALSE)="Risk"),AB2,"")))))</f>
        <v/>
      </c>
      <c r="D5" s="8" t="inlineStr">
        <is>
          <t>Parent Link (Advanced Roadmaps field) — resolves by Issue Key once Pass 0 keys exist</t>
        </is>
      </c>
      <c r="E5" s="8" t="inlineStr">
        <is>
          <t>Pass 1</t>
        </is>
      </c>
    </row>
    <row r="6" ht="60" customHeight="1">
      <c r="A6" s="5" t="inlineStr">
        <is>
          <t>parent_epic</t>
        </is>
      </c>
      <c r="B6" s="5" t="inlineStr">
        <is>
          <t>Reserved name for Story→Epic linking. NOTE: this is the gap flagged earlier — no formula here fires for Epic/Feature parents. Needs a real 'Epic Name' lookup formula if Story→Epic linking is in scope.</t>
        </is>
      </c>
      <c r="C6" s="5" t="inlineStr">
        <is>
          <t>NOT YET IMPLEMENTED — VLOOKUP(AB2,$A:$C,3) against the parent row, returning the parent's Subject/Epic Name rather than its ID, only when parent's type = Epic or Feature</t>
        </is>
      </c>
      <c r="D6" s="5" t="inlineStr">
        <is>
          <t>Epic Link (Jira Software field) — resolves by Epic NAME, not ID or key</t>
        </is>
      </c>
      <c r="E6" s="5" t="inlineStr">
        <is>
          <t>Pass 2 (once implemented)</t>
        </is>
      </c>
    </row>
    <row r="7" ht="60" customHeight="1">
      <c r="A7" s="8" t="inlineStr">
        <is>
          <t>parent_subtask</t>
        </is>
      </c>
      <c r="B7" s="8" t="inlineStr">
        <is>
          <t>Parent exists, same project, current row IS Sub-task/Review task</t>
        </is>
      </c>
      <c r="C7" s="8">
        <f>IF(AB2="","",IF(ISNA(MATCH(AB2,A:A,0)),"",IF(VLOOKUP(AB2,A:C,3,FALSE)&lt;&gt;C2,"",IF(OR(B2="Sub-task",B2="Review task"),AB2,""))))</f>
        <v/>
      </c>
      <c r="D7" s="8" t="inlineStr">
        <is>
          <t>Parent Id (Jira Core field) — resolves by numeric ID within same project</t>
        </is>
      </c>
      <c r="E7" s="8" t="inlineStr">
        <is>
          <t>Pass 4</t>
        </is>
      </c>
    </row>
    <row r="8" ht="60" customHeight="1">
      <c r="A8" s="8" t="inlineStr">
        <is>
          <t>parent_same_link</t>
        </is>
      </c>
      <c r="B8" s="8" t="inlineStr">
        <is>
          <t>Parent exists, same project, current row isn't Sub-task/Review task, AND parent's type is NOT Epic/Feature/Milestone/Phase/Risk (i.e. peer-level relation, not formal hierarchy)</t>
        </is>
      </c>
      <c r="C8" s="8">
        <f>IF(AB2="","",IF(ISNA(MATCH(AB2,A:A,0)),"",IF(VLOOKUP(AB2,A:C,3,FALSE)&lt;&gt;C2,"",IF(OR(B2="Sub-task",B2="Review task"),"",IF(OR(VLOOKUP(AB2,A:B,2,FALSE)="Epic",VLOOKUP(AB2,A:B,2,FALSE)="Feature",VLOOKUP(AB2,A:B,2,FALSE)="Milestone",VLOOKUP(AB2,A:B,2,FALSE)="Phase",VLOOKUP(AB2,A:B,2,FALSE)="Risk"),"",AB2)))))</f>
        <v/>
      </c>
      <c r="D8" s="8" t="inlineStr">
        <is>
          <t>Generic Issue Link, type 10532 'Child-Parent'</t>
        </is>
      </c>
      <c r="E8" s="8" t="inlineStr">
        <is>
          <t>Pass 2</t>
        </is>
      </c>
    </row>
    <row r="9" ht="60" customHeight="1">
      <c r="A9" s="8" t="inlineStr">
        <is>
          <t>is the Child of</t>
        </is>
      </c>
      <c r="B9" s="8" t="inlineStr">
        <is>
          <t>Catch-all: any row (of any type) whose parent reference didn't resolve into one of the four typed columns above — most commonly cross-project parents</t>
        </is>
      </c>
      <c r="C9" s="8" t="inlineStr">
        <is>
          <t>Not a formula column in the source — populated by the earlier failed guard clauses (project mismatch) in the four formulas above; consolidate those exclusions into an explicit column if you want it as first-class rather than inferred</t>
        </is>
      </c>
      <c r="D9" s="8" t="inlineStr">
        <is>
          <t>Generic Issue Link, type 10555 'Parent-Child' — cross-project safe</t>
        </is>
      </c>
      <c r="E9" s="8" t="inlineStr">
        <is>
          <t>Pass 3, and Pass 4 (cross-project subtasks only)</t>
        </is>
      </c>
    </row>
    <row r="10" ht="60" customHeight="1">
      <c r="A10" s="5" t="inlineStr">
        <is>
          <t>blocks  (NEW)</t>
        </is>
      </c>
      <c r="B10" s="5" t="inlineStr">
        <is>
          <t>Raw blocks reference exists AND target ID exists anywhere in column A — no type restriction, no project restriction (Blocks is commonly cross-project)</t>
        </is>
      </c>
      <c r="C10" s="5">
        <f>IF(AC2="","",IF(ISNA(MATCH(AC2,$A:$A,0)),"",AC2))</f>
        <v/>
      </c>
      <c r="D10" s="5" t="inlineStr">
        <is>
          <t>Generic Issue Link — 'Blocks' (ID TBD, see Lookup Tables tab)</t>
        </is>
      </c>
      <c r="E10" s="5" t="inlineStr">
        <is>
          <t>Pass 5 (NEW — requires ALL rows already imported)</t>
        </is>
      </c>
    </row>
    <row r="11" ht="60" customHeight="1">
      <c r="A11" s="5" t="inlineStr">
        <is>
          <t>follows  (NEW)</t>
        </is>
      </c>
      <c r="B11" s="5" t="inlineStr">
        <is>
          <t>Raw follows/precedes reference exists AND target ID exists anywhere in column A — no type restriction, no project restriction</t>
        </is>
      </c>
      <c r="C11" s="5">
        <f>IF(AD2="","",IF(ISNA(MATCH(AD2,$A:$A,0)),"",AD2))</f>
        <v/>
      </c>
      <c r="D11" s="5" t="inlineStr">
        <is>
          <t>Generic Issue Link — 'Follows/Precedes' (ID TBD, confirm this link type exists in your instance)</t>
        </is>
      </c>
      <c r="E11" s="5" t="inlineStr">
        <is>
          <t>Pass 5 (NEW — requires ALL rows already imported)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2026-09-16T18:30:17Z</dcterms:created>
  <dcterms:modified xmlns:dcterms="http://purl.org/dc/terms/" xmlns:xsi="http://www.w3.org/2001/XMLSchema-instance" xsi:type="dcterms:W3CDTF">2026-09-16T18:30:17Z</dcterms:modified>
</cp:coreProperties>
</file>